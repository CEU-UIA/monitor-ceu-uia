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NUEVO_BASES_CEU\Dinero&amp;bancos\"/>
    </mc:Choice>
  </mc:AlternateContent>
  <xr:revisionPtr revIDLastSave="0" documentId="13_ncr:1_{AB9CADD4-CCC9-4A16-A23A-3158942FF75B}" xr6:coauthVersionLast="47" xr6:coauthVersionMax="47" xr10:uidLastSave="{00000000-0000-0000-0000-000000000000}"/>
  <bookViews>
    <workbookView xWindow="-110" yWindow="-110" windowWidth="19420" windowHeight="10300" xr2:uid="{5F8BBD24-3D49-428E-A2AA-79EC490B9E90}"/>
  </bookViews>
  <sheets>
    <sheet name="Monitor" sheetId="13" r:id="rId1"/>
    <sheet name="Output - 3 dígitos" sheetId="8" r:id="rId2"/>
    <sheet name="Output - 1 díg" sheetId="12" r:id="rId3"/>
    <sheet name="Industria - 2 díg" sheetId="9" r:id="rId4"/>
    <sheet name="Sectores ARCA" sheetId="11" r:id="rId5"/>
    <sheet name="INPUT" sheetId="2" r:id="rId6"/>
  </sheets>
  <definedNames>
    <definedName name="_xlnm._FilterDatabase" localSheetId="5" hidden="1">INPUT!$A$1:$D$396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3" l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" i="13"/>
  <c r="D5" i="12"/>
  <c r="C5" i="12"/>
  <c r="B5" i="12"/>
  <c r="C31" i="12"/>
  <c r="D31" i="12" s="1"/>
  <c r="B31" i="12"/>
  <c r="C2" i="12"/>
  <c r="D2" i="12" s="1"/>
  <c r="C3" i="12"/>
  <c r="C4" i="12"/>
  <c r="C6" i="12"/>
  <c r="C7" i="12"/>
  <c r="C8" i="12"/>
  <c r="C9" i="12"/>
  <c r="C10" i="12"/>
  <c r="D10" i="12" s="1"/>
  <c r="C11" i="12"/>
  <c r="D11" i="12" s="1"/>
  <c r="C12" i="12"/>
  <c r="C13" i="12"/>
  <c r="C14" i="12"/>
  <c r="C15" i="12"/>
  <c r="C16" i="12"/>
  <c r="C17" i="12"/>
  <c r="C18" i="12"/>
  <c r="C19" i="12"/>
  <c r="D19" i="12" s="1"/>
  <c r="C20" i="12"/>
  <c r="C21" i="12"/>
  <c r="C22" i="12"/>
  <c r="C23" i="12"/>
  <c r="C24" i="12"/>
  <c r="C25" i="12"/>
  <c r="C26" i="12"/>
  <c r="C27" i="12"/>
  <c r="D27" i="12" s="1"/>
  <c r="C28" i="12"/>
  <c r="C29" i="12"/>
  <c r="B3" i="12"/>
  <c r="B4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2" i="12"/>
  <c r="B30" i="12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" i="11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2" i="9"/>
  <c r="B2" i="9"/>
  <c r="A3" i="9"/>
  <c r="B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D1" i="9"/>
  <c r="E1" i="9"/>
  <c r="F1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E2" i="9" s="1"/>
  <c r="F25" i="8"/>
  <c r="E3" i="9" s="1"/>
  <c r="F26" i="8"/>
  <c r="E4" i="9" s="1"/>
  <c r="F27" i="8"/>
  <c r="E5" i="9" s="1"/>
  <c r="F28" i="8"/>
  <c r="E6" i="9" s="1"/>
  <c r="F29" i="8"/>
  <c r="E7" i="9" s="1"/>
  <c r="F30" i="8"/>
  <c r="E8" i="9" s="1"/>
  <c r="F31" i="8"/>
  <c r="E9" i="9" s="1"/>
  <c r="F32" i="8"/>
  <c r="E10" i="9" s="1"/>
  <c r="F33" i="8"/>
  <c r="E11" i="9" s="1"/>
  <c r="F34" i="8"/>
  <c r="E12" i="9" s="1"/>
  <c r="F35" i="8"/>
  <c r="E13" i="9" s="1"/>
  <c r="F36" i="8"/>
  <c r="E14" i="9" s="1"/>
  <c r="F37" i="8"/>
  <c r="E15" i="9" s="1"/>
  <c r="F38" i="8"/>
  <c r="E16" i="9" s="1"/>
  <c r="F39" i="8"/>
  <c r="E17" i="9" s="1"/>
  <c r="F40" i="8"/>
  <c r="E18" i="9" s="1"/>
  <c r="F41" i="8"/>
  <c r="E19" i="9" s="1"/>
  <c r="F42" i="8"/>
  <c r="E20" i="9" s="1"/>
  <c r="F43" i="8"/>
  <c r="E21" i="9" s="1"/>
  <c r="F44" i="8"/>
  <c r="E22" i="9" s="1"/>
  <c r="F45" i="8"/>
  <c r="E23" i="9" s="1"/>
  <c r="F46" i="8"/>
  <c r="E24" i="9" s="1"/>
  <c r="F47" i="8"/>
  <c r="E25" i="9" s="1"/>
  <c r="F48" i="8"/>
  <c r="E26" i="9" s="1"/>
  <c r="F49" i="8"/>
  <c r="E27" i="9" s="1"/>
  <c r="F50" i="8"/>
  <c r="E28" i="9" s="1"/>
  <c r="F51" i="8"/>
  <c r="E29" i="9" s="1"/>
  <c r="F52" i="8"/>
  <c r="E30" i="9" s="1"/>
  <c r="F53" i="8"/>
  <c r="E31" i="9" s="1"/>
  <c r="F54" i="8"/>
  <c r="E32" i="9" s="1"/>
  <c r="F55" i="8"/>
  <c r="E33" i="9" s="1"/>
  <c r="F56" i="8"/>
  <c r="E34" i="9" s="1"/>
  <c r="F57" i="8"/>
  <c r="E35" i="9" s="1"/>
  <c r="F58" i="8"/>
  <c r="E36" i="9" s="1"/>
  <c r="F59" i="8"/>
  <c r="E37" i="9" s="1"/>
  <c r="F60" i="8"/>
  <c r="E38" i="9" s="1"/>
  <c r="F61" i="8"/>
  <c r="E39" i="9" s="1"/>
  <c r="F62" i="8"/>
  <c r="E40" i="9" s="1"/>
  <c r="F63" i="8"/>
  <c r="E41" i="9" s="1"/>
  <c r="F64" i="8"/>
  <c r="E42" i="9" s="1"/>
  <c r="F65" i="8"/>
  <c r="E43" i="9" s="1"/>
  <c r="F66" i="8"/>
  <c r="E44" i="9" s="1"/>
  <c r="F67" i="8"/>
  <c r="E45" i="9" s="1"/>
  <c r="F68" i="8"/>
  <c r="E46" i="9" s="1"/>
  <c r="F69" i="8"/>
  <c r="E47" i="9" s="1"/>
  <c r="F70" i="8"/>
  <c r="E48" i="9" s="1"/>
  <c r="F71" i="8"/>
  <c r="E49" i="9" s="1"/>
  <c r="F72" i="8"/>
  <c r="E50" i="9" s="1"/>
  <c r="F73" i="8"/>
  <c r="E51" i="9" s="1"/>
  <c r="F74" i="8"/>
  <c r="E52" i="9" s="1"/>
  <c r="F75" i="8"/>
  <c r="E53" i="9" s="1"/>
  <c r="F76" i="8"/>
  <c r="E54" i="9" s="1"/>
  <c r="F77" i="8"/>
  <c r="E55" i="9" s="1"/>
  <c r="F78" i="8"/>
  <c r="E56" i="9" s="1"/>
  <c r="F79" i="8"/>
  <c r="E57" i="9" s="1"/>
  <c r="F80" i="8"/>
  <c r="E58" i="9" s="1"/>
  <c r="F81" i="8"/>
  <c r="E59" i="9" s="1"/>
  <c r="F82" i="8"/>
  <c r="E60" i="9" s="1"/>
  <c r="F83" i="8"/>
  <c r="E61" i="9" s="1"/>
  <c r="F84" i="8"/>
  <c r="E62" i="9" s="1"/>
  <c r="F85" i="8"/>
  <c r="E63" i="9" s="1"/>
  <c r="F86" i="8"/>
  <c r="E64" i="9" s="1"/>
  <c r="F87" i="8"/>
  <c r="E65" i="9" s="1"/>
  <c r="F88" i="8"/>
  <c r="E66" i="9" s="1"/>
  <c r="F89" i="8"/>
  <c r="E67" i="9" s="1"/>
  <c r="F90" i="8"/>
  <c r="E68" i="9" s="1"/>
  <c r="F91" i="8"/>
  <c r="E69" i="9" s="1"/>
  <c r="F92" i="8"/>
  <c r="E70" i="9" s="1"/>
  <c r="F93" i="8"/>
  <c r="E71" i="9" s="1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" i="8"/>
  <c r="E2" i="8"/>
  <c r="E227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D2" i="9" s="1"/>
  <c r="E25" i="8"/>
  <c r="D3" i="9" s="1"/>
  <c r="E26" i="8"/>
  <c r="D4" i="9" s="1"/>
  <c r="E27" i="8"/>
  <c r="D5" i="9" s="1"/>
  <c r="E28" i="8"/>
  <c r="D6" i="9" s="1"/>
  <c r="E29" i="8"/>
  <c r="D7" i="9" s="1"/>
  <c r="E30" i="8"/>
  <c r="D8" i="9" s="1"/>
  <c r="E31" i="8"/>
  <c r="D9" i="9" s="1"/>
  <c r="E32" i="8"/>
  <c r="D10" i="9" s="1"/>
  <c r="E33" i="8"/>
  <c r="D11" i="9" s="1"/>
  <c r="E34" i="8"/>
  <c r="D12" i="9" s="1"/>
  <c r="E35" i="8"/>
  <c r="D13" i="9" s="1"/>
  <c r="E36" i="8"/>
  <c r="D14" i="9" s="1"/>
  <c r="E37" i="8"/>
  <c r="D15" i="9" s="1"/>
  <c r="E38" i="8"/>
  <c r="D16" i="9" s="1"/>
  <c r="E39" i="8"/>
  <c r="D17" i="9" s="1"/>
  <c r="E40" i="8"/>
  <c r="D18" i="9" s="1"/>
  <c r="E41" i="8"/>
  <c r="D19" i="9" s="1"/>
  <c r="E42" i="8"/>
  <c r="D20" i="9" s="1"/>
  <c r="E43" i="8"/>
  <c r="D21" i="9" s="1"/>
  <c r="E44" i="8"/>
  <c r="D22" i="9" s="1"/>
  <c r="E45" i="8"/>
  <c r="D23" i="9" s="1"/>
  <c r="E46" i="8"/>
  <c r="D24" i="9" s="1"/>
  <c r="E47" i="8"/>
  <c r="D25" i="9" s="1"/>
  <c r="E48" i="8"/>
  <c r="D26" i="9" s="1"/>
  <c r="E49" i="8"/>
  <c r="D27" i="9" s="1"/>
  <c r="E50" i="8"/>
  <c r="D28" i="9" s="1"/>
  <c r="E51" i="8"/>
  <c r="D29" i="9" s="1"/>
  <c r="E52" i="8"/>
  <c r="D30" i="9" s="1"/>
  <c r="E53" i="8"/>
  <c r="D31" i="9" s="1"/>
  <c r="E54" i="8"/>
  <c r="D32" i="9" s="1"/>
  <c r="E55" i="8"/>
  <c r="D33" i="9" s="1"/>
  <c r="E56" i="8"/>
  <c r="D34" i="9" s="1"/>
  <c r="E57" i="8"/>
  <c r="D35" i="9" s="1"/>
  <c r="E58" i="8"/>
  <c r="D36" i="9" s="1"/>
  <c r="E59" i="8"/>
  <c r="D37" i="9" s="1"/>
  <c r="E60" i="8"/>
  <c r="D38" i="9" s="1"/>
  <c r="E61" i="8"/>
  <c r="D39" i="9" s="1"/>
  <c r="E62" i="8"/>
  <c r="D40" i="9" s="1"/>
  <c r="E63" i="8"/>
  <c r="D41" i="9" s="1"/>
  <c r="E64" i="8"/>
  <c r="D42" i="9" s="1"/>
  <c r="E65" i="8"/>
  <c r="D43" i="9" s="1"/>
  <c r="E66" i="8"/>
  <c r="D44" i="9" s="1"/>
  <c r="E67" i="8"/>
  <c r="D45" i="9" s="1"/>
  <c r="E68" i="8"/>
  <c r="D46" i="9" s="1"/>
  <c r="E69" i="8"/>
  <c r="D47" i="9" s="1"/>
  <c r="E70" i="8"/>
  <c r="D48" i="9" s="1"/>
  <c r="E71" i="8"/>
  <c r="D49" i="9" s="1"/>
  <c r="E72" i="8"/>
  <c r="D50" i="9" s="1"/>
  <c r="E73" i="8"/>
  <c r="D51" i="9" s="1"/>
  <c r="E74" i="8"/>
  <c r="D52" i="9" s="1"/>
  <c r="E75" i="8"/>
  <c r="D53" i="9" s="1"/>
  <c r="E76" i="8"/>
  <c r="D54" i="9" s="1"/>
  <c r="E77" i="8"/>
  <c r="D55" i="9" s="1"/>
  <c r="E78" i="8"/>
  <c r="D56" i="9" s="1"/>
  <c r="E79" i="8"/>
  <c r="D57" i="9" s="1"/>
  <c r="E80" i="8"/>
  <c r="D58" i="9" s="1"/>
  <c r="E81" i="8"/>
  <c r="D59" i="9" s="1"/>
  <c r="E82" i="8"/>
  <c r="D60" i="9" s="1"/>
  <c r="E83" i="8"/>
  <c r="D61" i="9" s="1"/>
  <c r="E84" i="8"/>
  <c r="D62" i="9" s="1"/>
  <c r="E85" i="8"/>
  <c r="D63" i="9" s="1"/>
  <c r="E86" i="8"/>
  <c r="D64" i="9" s="1"/>
  <c r="E87" i="8"/>
  <c r="D65" i="9" s="1"/>
  <c r="E88" i="8"/>
  <c r="D66" i="9" s="1"/>
  <c r="E89" i="8"/>
  <c r="D67" i="9" s="1"/>
  <c r="E90" i="8"/>
  <c r="D68" i="9" s="1"/>
  <c r="E91" i="8"/>
  <c r="D69" i="9" s="1"/>
  <c r="E92" i="8"/>
  <c r="D70" i="9" s="1"/>
  <c r="E93" i="8"/>
  <c r="D71" i="9" s="1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3" i="8"/>
  <c r="D25" i="12" l="1"/>
  <c r="D17" i="12"/>
  <c r="D9" i="12"/>
  <c r="D24" i="12"/>
  <c r="D16" i="12"/>
  <c r="D8" i="12"/>
  <c r="C30" i="12"/>
  <c r="D30" i="12" s="1"/>
  <c r="D23" i="12"/>
  <c r="D15" i="12"/>
  <c r="D7" i="12"/>
  <c r="D22" i="12"/>
  <c r="D14" i="12"/>
  <c r="D6" i="12"/>
  <c r="D29" i="12"/>
  <c r="D21" i="12"/>
  <c r="D13" i="12"/>
  <c r="D4" i="12"/>
  <c r="D26" i="12"/>
  <c r="D18" i="12"/>
  <c r="D28" i="12"/>
  <c r="D20" i="12"/>
  <c r="D12" i="12"/>
  <c r="D3" i="12"/>
  <c r="G47" i="8"/>
  <c r="F25" i="9" s="1"/>
  <c r="G39" i="8"/>
  <c r="F17" i="9" s="1"/>
  <c r="G31" i="8"/>
  <c r="F9" i="9" s="1"/>
  <c r="G23" i="8"/>
  <c r="G15" i="8"/>
  <c r="G7" i="8"/>
  <c r="G227" i="8"/>
  <c r="G2" i="8"/>
  <c r="G48" i="8"/>
  <c r="F26" i="9" s="1"/>
  <c r="G40" i="8"/>
  <c r="F18" i="9" s="1"/>
  <c r="G32" i="8"/>
  <c r="F10" i="9" s="1"/>
  <c r="G24" i="8"/>
  <c r="F2" i="9" s="1"/>
  <c r="G16" i="8"/>
  <c r="G8" i="8"/>
  <c r="G225" i="8"/>
  <c r="G217" i="8"/>
  <c r="G209" i="8"/>
  <c r="G201" i="8"/>
  <c r="G193" i="8"/>
  <c r="G185" i="8"/>
  <c r="G177" i="8"/>
  <c r="G169" i="8"/>
  <c r="G161" i="8"/>
  <c r="G153" i="8"/>
  <c r="G145" i="8"/>
  <c r="G137" i="8"/>
  <c r="G129" i="8"/>
  <c r="G121" i="8"/>
  <c r="G113" i="8"/>
  <c r="G105" i="8"/>
  <c r="G97" i="8"/>
  <c r="G89" i="8"/>
  <c r="F67" i="9" s="1"/>
  <c r="G81" i="8"/>
  <c r="F59" i="9" s="1"/>
  <c r="G73" i="8"/>
  <c r="F51" i="9" s="1"/>
  <c r="G65" i="8"/>
  <c r="F43" i="9" s="1"/>
  <c r="G57" i="8"/>
  <c r="F35" i="9" s="1"/>
  <c r="G49" i="8"/>
  <c r="F27" i="9" s="1"/>
  <c r="G41" i="8"/>
  <c r="F19" i="9" s="1"/>
  <c r="G33" i="8"/>
  <c r="F11" i="9" s="1"/>
  <c r="G25" i="8"/>
  <c r="F3" i="9" s="1"/>
  <c r="G17" i="8"/>
  <c r="G9" i="8"/>
  <c r="G219" i="8"/>
  <c r="G211" i="8"/>
  <c r="G203" i="8"/>
  <c r="G195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91" i="8"/>
  <c r="F69" i="9" s="1"/>
  <c r="G83" i="8"/>
  <c r="F61" i="9" s="1"/>
  <c r="G75" i="8"/>
  <c r="F53" i="9" s="1"/>
  <c r="G67" i="8"/>
  <c r="F45" i="9" s="1"/>
  <c r="G59" i="8"/>
  <c r="F37" i="9" s="1"/>
  <c r="G51" i="8"/>
  <c r="F29" i="9" s="1"/>
  <c r="G43" i="8"/>
  <c r="F21" i="9" s="1"/>
  <c r="G35" i="8"/>
  <c r="F13" i="9" s="1"/>
  <c r="G27" i="8"/>
  <c r="F5" i="9" s="1"/>
  <c r="G19" i="8"/>
  <c r="G11" i="8"/>
  <c r="G3" i="8"/>
  <c r="G226" i="8"/>
  <c r="G218" i="8"/>
  <c r="G210" i="8"/>
  <c r="G202" i="8"/>
  <c r="G194" i="8"/>
  <c r="G186" i="8"/>
  <c r="G178" i="8"/>
  <c r="G170" i="8"/>
  <c r="G162" i="8"/>
  <c r="G154" i="8"/>
  <c r="G146" i="8"/>
  <c r="G138" i="8"/>
  <c r="G130" i="8"/>
  <c r="G122" i="8"/>
  <c r="G114" i="8"/>
  <c r="G106" i="8"/>
  <c r="G98" i="8"/>
  <c r="G90" i="8"/>
  <c r="F68" i="9" s="1"/>
  <c r="G82" i="8"/>
  <c r="F60" i="9" s="1"/>
  <c r="G74" i="8"/>
  <c r="F52" i="9" s="1"/>
  <c r="G66" i="8"/>
  <c r="F44" i="9" s="1"/>
  <c r="G58" i="8"/>
  <c r="F36" i="9" s="1"/>
  <c r="G50" i="8"/>
  <c r="F28" i="9" s="1"/>
  <c r="G42" i="8"/>
  <c r="F20" i="9" s="1"/>
  <c r="G34" i="8"/>
  <c r="F12" i="9" s="1"/>
  <c r="G26" i="8"/>
  <c r="F4" i="9" s="1"/>
  <c r="G18" i="8"/>
  <c r="G10" i="8"/>
  <c r="G200" i="8"/>
  <c r="G168" i="8"/>
  <c r="G136" i="8"/>
  <c r="G104" i="8"/>
  <c r="G72" i="8"/>
  <c r="F50" i="9" s="1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F65" i="9" s="1"/>
  <c r="G79" i="8"/>
  <c r="F57" i="9" s="1"/>
  <c r="G71" i="8"/>
  <c r="F49" i="9" s="1"/>
  <c r="G63" i="8"/>
  <c r="F41" i="9" s="1"/>
  <c r="G55" i="8"/>
  <c r="F33" i="9" s="1"/>
  <c r="G224" i="8"/>
  <c r="G192" i="8"/>
  <c r="G160" i="8"/>
  <c r="G128" i="8"/>
  <c r="G96" i="8"/>
  <c r="G64" i="8"/>
  <c r="F42" i="9" s="1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F64" i="9" s="1"/>
  <c r="G78" i="8"/>
  <c r="F56" i="9" s="1"/>
  <c r="G70" i="8"/>
  <c r="F48" i="9" s="1"/>
  <c r="G62" i="8"/>
  <c r="F40" i="9" s="1"/>
  <c r="G54" i="8"/>
  <c r="F32" i="9" s="1"/>
  <c r="G46" i="8"/>
  <c r="F24" i="9" s="1"/>
  <c r="G38" i="8"/>
  <c r="F16" i="9" s="1"/>
  <c r="G30" i="8"/>
  <c r="F8" i="9" s="1"/>
  <c r="G22" i="8"/>
  <c r="G14" i="8"/>
  <c r="G6" i="8"/>
  <c r="G216" i="8"/>
  <c r="G184" i="8"/>
  <c r="G152" i="8"/>
  <c r="G120" i="8"/>
  <c r="G88" i="8"/>
  <c r="F66" i="9" s="1"/>
  <c r="G56" i="8"/>
  <c r="F34" i="9" s="1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F71" i="9" s="1"/>
  <c r="G85" i="8"/>
  <c r="F63" i="9" s="1"/>
  <c r="G77" i="8"/>
  <c r="F55" i="9" s="1"/>
  <c r="G69" i="8"/>
  <c r="F47" i="9" s="1"/>
  <c r="G61" i="8"/>
  <c r="F39" i="9" s="1"/>
  <c r="G53" i="8"/>
  <c r="F31" i="9" s="1"/>
  <c r="G45" i="8"/>
  <c r="F23" i="9" s="1"/>
  <c r="G37" i="8"/>
  <c r="F15" i="9" s="1"/>
  <c r="G29" i="8"/>
  <c r="F7" i="9" s="1"/>
  <c r="G21" i="8"/>
  <c r="G13" i="8"/>
  <c r="G5" i="8"/>
  <c r="G208" i="8"/>
  <c r="G176" i="8"/>
  <c r="G144" i="8"/>
  <c r="G112" i="8"/>
  <c r="G80" i="8"/>
  <c r="F58" i="9" s="1"/>
  <c r="G220" i="8"/>
  <c r="G212" i="8"/>
  <c r="G204" i="8"/>
  <c r="G196" i="8"/>
  <c r="G188" i="8"/>
  <c r="G180" i="8"/>
  <c r="G172" i="8"/>
  <c r="G164" i="8"/>
  <c r="G156" i="8"/>
  <c r="G148" i="8"/>
  <c r="G140" i="8"/>
  <c r="G132" i="8"/>
  <c r="G124" i="8"/>
  <c r="G116" i="8"/>
  <c r="G108" i="8"/>
  <c r="G100" i="8"/>
  <c r="G92" i="8"/>
  <c r="F70" i="9" s="1"/>
  <c r="G84" i="8"/>
  <c r="F62" i="9" s="1"/>
  <c r="G76" i="8"/>
  <c r="F54" i="9" s="1"/>
  <c r="G68" i="8"/>
  <c r="F46" i="9" s="1"/>
  <c r="G60" i="8"/>
  <c r="F38" i="9" s="1"/>
  <c r="G52" i="8"/>
  <c r="F30" i="9" s="1"/>
  <c r="G44" i="8"/>
  <c r="F22" i="9" s="1"/>
  <c r="G36" i="8"/>
  <c r="F14" i="9" s="1"/>
  <c r="G28" i="8"/>
  <c r="F6" i="9" s="1"/>
  <c r="G20" i="8"/>
  <c r="G12" i="8"/>
  <c r="G4" i="8"/>
  <c r="I2" i="9" l="1" a="1"/>
  <c r="I2" i="9" s="1"/>
  <c r="J2" i="8" a="1"/>
  <c r="J2" i="8" s="1"/>
  <c r="K2" i="9" a="1"/>
  <c r="K2" i="9" s="1"/>
  <c r="J2" i="9" a="1"/>
  <c r="J2" i="9" s="1"/>
  <c r="K2" i="8" a="1"/>
  <c r="K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<sst xmlns="http://schemas.openxmlformats.org/spreadsheetml/2006/main" count="1700" uniqueCount="886">
  <si>
    <t xml:space="preserve"> Producción y procesamiento de carne y productos cárnicos, excepto pescado</t>
  </si>
  <si>
    <t xml:space="preserve"> Terminación y teñido de pieles</t>
  </si>
  <si>
    <t xml:space="preserve"> Elaboración de pescado y productos de pescado</t>
  </si>
  <si>
    <t xml:space="preserve"> Fabricación de armas y municiones</t>
  </si>
  <si>
    <t xml:space="preserve"> Preparación de frutas, hortalizas y legumbres</t>
  </si>
  <si>
    <t xml:space="preserve"> Fabricación de receptores de radio y televisión, aparatos de grabación y reproducción de sonido y video, y productos conexos</t>
  </si>
  <si>
    <t xml:space="preserve"> Elaboración de aceites y grasas de origen vegetal</t>
  </si>
  <si>
    <t xml:space="preserve"> Fabricación y reparación de aeronaves </t>
  </si>
  <si>
    <t xml:space="preserve"> Elaboración de productos lácteos</t>
  </si>
  <si>
    <t xml:space="preserve"> Fabricación de hilos y cables aislados</t>
  </si>
  <si>
    <t xml:space="preserve"> Elaboración de productos de molinería, almidones y productos derivados del almidón </t>
  </si>
  <si>
    <t xml:space="preserve"> Fabricación de vehículos automotores</t>
  </si>
  <si>
    <t xml:space="preserve"> Elaboración de productos alimenticios ncp</t>
  </si>
  <si>
    <t xml:space="preserve"> Fabricación de productos primarios de metales preciosos y metales no ferrosos</t>
  </si>
  <si>
    <t xml:space="preserve"> Elaboración de alimentos preparados para animales</t>
  </si>
  <si>
    <t xml:space="preserve"> Servicios industriales para la elaboración de alimentos y bebidas</t>
  </si>
  <si>
    <t xml:space="preserve"> Fabricación  de  carrocerías  para  vehículos  automotores</t>
  </si>
  <si>
    <t xml:space="preserve"> Elaboración de bebidas</t>
  </si>
  <si>
    <t xml:space="preserve"> Fabricación de aparatos de uso doméstico ncp</t>
  </si>
  <si>
    <t xml:space="preserve"> Elaboración de productos de tabaco</t>
  </si>
  <si>
    <t xml:space="preserve"> Servicios industriales para la fabricación de sustancias y productos químicos</t>
  </si>
  <si>
    <t xml:space="preserve"> Fabricación  de hilados y  tejidos, acabado de productos textiles</t>
  </si>
  <si>
    <t xml:space="preserve"> Fabricación  de equipos de comunicaciones y transmisores de radio y televisión</t>
  </si>
  <si>
    <t xml:space="preserve"> Fabricación de productos textiles ncp</t>
  </si>
  <si>
    <t xml:space="preserve"> Fabricación de instrumentos de óptica y equipo fotográfico</t>
  </si>
  <si>
    <t xml:space="preserve"> Confección de prendas de vestir, excepto prendas de piel</t>
  </si>
  <si>
    <t xml:space="preserve"> Fabricación de equipo de transporte ncp</t>
  </si>
  <si>
    <t xml:space="preserve"> Industrias básicas de hierro y acero</t>
  </si>
  <si>
    <t>Fabricación de prendas de vestir de punto</t>
  </si>
  <si>
    <t xml:space="preserve"> Fabricación de maquinaria y equipo de uso especial</t>
  </si>
  <si>
    <t xml:space="preserve"> Servicios industriales para la industria confeccionista</t>
  </si>
  <si>
    <t xml:space="preserve"> Curtido y terminación de cueros</t>
  </si>
  <si>
    <t xml:space="preserve"> Fabricación de maquinaria y equipo de uso general</t>
  </si>
  <si>
    <t xml:space="preserve"> Fabricación de calzado y de sus partes</t>
  </si>
  <si>
    <t xml:space="preserve"> Reproducción de grabaciones</t>
  </si>
  <si>
    <t xml:space="preserve"> Aserrado y cepillado de madera</t>
  </si>
  <si>
    <t xml:space="preserve"> Fabricación de instrumentos de música</t>
  </si>
  <si>
    <t xml:space="preserve"> Fabricación de productos de madera, corcho, paja y materiales trenzables</t>
  </si>
  <si>
    <t xml:space="preserve"> Fabricación de lámparas eléctricas y equipo de iluminación</t>
  </si>
  <si>
    <t xml:space="preserve"> Fabricación de papel y de productos de papel</t>
  </si>
  <si>
    <t xml:space="preserve"> Fabricación  de equipo eléctrico ncp</t>
  </si>
  <si>
    <t xml:space="preserve"> Impresión y servicios relacionados con la impresión</t>
  </si>
  <si>
    <t xml:space="preserve"> Fundición de metales</t>
  </si>
  <si>
    <t xml:space="preserve"> Fabricación de productos de hornos de coque</t>
  </si>
  <si>
    <t xml:space="preserve"> Fabricación de partes, piezas y accesorios para vehículos automotores y sus motores</t>
  </si>
  <si>
    <t xml:space="preserve"> Fabricación de productos de la refinación del petróleo</t>
  </si>
  <si>
    <t xml:space="preserve"> Fabricación de juegos y juguetes</t>
  </si>
  <si>
    <t xml:space="preserve"> Fabricación de sustancias químicas básicas</t>
  </si>
  <si>
    <t xml:space="preserve"> Construcción y reparación de buques y embarcaciones</t>
  </si>
  <si>
    <t xml:space="preserve"> Fabricación de productos químicos ncp</t>
  </si>
  <si>
    <t xml:space="preserve"> Fabricación de fibras manufacturadas</t>
  </si>
  <si>
    <t xml:space="preserve"> Fabricación de equipo médico y quirúrgico y de aparatos ortopédicos </t>
  </si>
  <si>
    <t xml:space="preserve"> Industrias manufactureras ncp</t>
  </si>
  <si>
    <t xml:space="preserve"> Fabricación de productos farmaceúticos, sustancias químicas medicinales y productos botánicos de uso farmaceútico</t>
  </si>
  <si>
    <t xml:space="preserve"> Fabricación de productos de caucho</t>
  </si>
  <si>
    <t xml:space="preserve"> Fabricación de equipos y productos informáticos</t>
  </si>
  <si>
    <t xml:space="preserve"> Fabricación de productos de plástico</t>
  </si>
  <si>
    <t xml:space="preserve"> Fabricación de aparatos e instrumentos para medir, verificar, ensayar, navegar y otros fines, excepto instrumentos de óptica</t>
  </si>
  <si>
    <t xml:space="preserve"> Fabricación de vidrio y productos de vidrio</t>
  </si>
  <si>
    <t xml:space="preserve"> Fabricación de productos minerales no metálicos ncp</t>
  </si>
  <si>
    <t xml:space="preserve"> Fabricación de productos elaborados de metal ncp</t>
  </si>
  <si>
    <t xml:space="preserve"> Fabricación de productos metálicos para uso estructural, tanques, depósitos y generadores de vapor</t>
  </si>
  <si>
    <t xml:space="preserve"> Fabricación de componentes electrónicos</t>
  </si>
  <si>
    <t xml:space="preserve"> Fabricación de artículos de deporte</t>
  </si>
  <si>
    <t xml:space="preserve"> Fabricación de soportes ópticos y magnéticos</t>
  </si>
  <si>
    <t xml:space="preserve"> Fabricación de motores, generadores y transformadores eléctricos y aparatos de distribución  y control de la energía eléctrica</t>
  </si>
  <si>
    <t>Fabricación de acumuladores,  pilas y baterías primarias</t>
  </si>
  <si>
    <t xml:space="preserve"> Fabricación de joyas, bijouterie y artículos conexos</t>
  </si>
  <si>
    <t xml:space="preserve"> Fabricación de muebles y colchones</t>
  </si>
  <si>
    <t xml:space="preserve"> Fabricación y reparación de locomotoras y de material rodante para transporte ferroviario</t>
  </si>
  <si>
    <t>tasa_mora</t>
  </si>
  <si>
    <t>nan</t>
  </si>
  <si>
    <t>CLAE 3</t>
  </si>
  <si>
    <t xml:space="preserve"> CrÃ­a de animales</t>
  </si>
  <si>
    <t xml:space="preserve"> Cultivos temporales</t>
  </si>
  <si>
    <t xml:space="preserve"> Caza, repoblaciÃ³n  de animales de caza y servicios de apoyo</t>
  </si>
  <si>
    <t xml:space="preserve"> Cultivos perennes</t>
  </si>
  <si>
    <t xml:space="preserve"> Servicios de apoyo agrÃ­colas y pecuarios</t>
  </si>
  <si>
    <t xml:space="preserve"> ProducciÃ³n de semillas y de otras formas de propagaciÃ³n de cultivos agrÃ­colas</t>
  </si>
  <si>
    <t xml:space="preserve"> Servicios de apoyo a la silvicultura</t>
  </si>
  <si>
    <t xml:space="preserve"> Silvicultura</t>
  </si>
  <si>
    <t xml:space="preserve"> ExtracciÃ³n de productos forestales</t>
  </si>
  <si>
    <t xml:space="preserve"> Pesca y servicios de apoyo</t>
  </si>
  <si>
    <t xml:space="preserve"> ExplotaciÃ³n de criaderos de peces, granjas piscÃ­colas y otros frutos acuÃ¡ticos (acuicultura)</t>
  </si>
  <si>
    <t xml:space="preserve"> ExtracciÃ³n y aglomeraciÃ³n de lignito</t>
  </si>
  <si>
    <t xml:space="preserve"> ExtracciÃ³n y aglomeraciÃ³n de carbÃ³n </t>
  </si>
  <si>
    <t xml:space="preserve"> ExtracciÃ³n de gas natural</t>
  </si>
  <si>
    <t xml:space="preserve"> ExtracciÃ³n de petrÃ³leo crudo</t>
  </si>
  <si>
    <t xml:space="preserve"> ExtracciÃ³n de minerales metalÃ­feros no ferrosos</t>
  </si>
  <si>
    <t xml:space="preserve"> ExtracciÃ³n de minerales de hierro</t>
  </si>
  <si>
    <t xml:space="preserve"> ExtracciÃ³n de piedra, arena y arcillas</t>
  </si>
  <si>
    <t xml:space="preserve"> ExplotaciÃ³n de minas y canteras ncp</t>
  </si>
  <si>
    <t xml:space="preserve"> Servicios de apoyo para la extracciÃ³n de petrÃ³leo y gas natural</t>
  </si>
  <si>
    <t xml:space="preserve"> Servicios de apoyo para la minerÃ­a, excepto para la extracciÃ³n de petrÃ³leo  y gas natural</t>
  </si>
  <si>
    <t xml:space="preserve"> ProducciÃ³n y procesamiento de carne y productos cÃ¡rnicos, excepto pescado</t>
  </si>
  <si>
    <t xml:space="preserve"> ElaboraciÃ³n de productos lÃ¡cteos</t>
  </si>
  <si>
    <t xml:space="preserve"> ElaboraciÃ³n de aceites y grasas de origen vegetal</t>
  </si>
  <si>
    <t xml:space="preserve"> ElaboraciÃ³n de productos de molinerÃ­a, almidones y productos derivados del almidÃ³n </t>
  </si>
  <si>
    <t xml:space="preserve"> ElaboraciÃ³n de pescado y productos de pescado</t>
  </si>
  <si>
    <t xml:space="preserve"> ElaboraciÃ³n de productos alimenticios ncp</t>
  </si>
  <si>
    <t xml:space="preserve"> PreparaciÃ³n de frutas, hortalizas y legumbres</t>
  </si>
  <si>
    <t xml:space="preserve"> Servicios industriales para la elaboraciÃ³n de alimentos y bebidas</t>
  </si>
  <si>
    <t xml:space="preserve"> ElaboraciÃ³n de alimentos preparados para animales</t>
  </si>
  <si>
    <t xml:space="preserve"> ElaboraciÃ³n de bebidas</t>
  </si>
  <si>
    <t xml:space="preserve"> ElaboraciÃ³n de productos de tabaco</t>
  </si>
  <si>
    <t xml:space="preserve"> FabricaciÃ³n de productos textiles ncp</t>
  </si>
  <si>
    <t xml:space="preserve"> FabricaciÃ³n  de hilados y  tejidos, acabado de productos textiles</t>
  </si>
  <si>
    <t>FabricaciÃ³n de prendas de vestir de punto</t>
  </si>
  <si>
    <t xml:space="preserve"> ConfecciÃ³n de prendas de vestir, excepto prendas de piel</t>
  </si>
  <si>
    <t xml:space="preserve"> TerminaciÃ³n y teÃ±ido de pieles</t>
  </si>
  <si>
    <t xml:space="preserve"> FabricaciÃ³n de calzado y de sus partes</t>
  </si>
  <si>
    <t xml:space="preserve"> Curtido y terminaciÃ³n de cueros</t>
  </si>
  <si>
    <t xml:space="preserve"> FabricaciÃ³n de productos de madera, corcho, paja y materiales trenzables</t>
  </si>
  <si>
    <t xml:space="preserve"> FabricaciÃ³n de papel y de productos de papel</t>
  </si>
  <si>
    <t xml:space="preserve"> ReproducciÃ³n de grabaciones</t>
  </si>
  <si>
    <t xml:space="preserve"> ImpresiÃ³n y servicios relacionados con la impresiÃ³n</t>
  </si>
  <si>
    <t xml:space="preserve"> FabricaciÃ³n de productos de la refinaciÃ³n del petrÃ³leo</t>
  </si>
  <si>
    <t xml:space="preserve"> FabricaciÃ³n de productos de hornos de coque</t>
  </si>
  <si>
    <t xml:space="preserve"> FabricaciÃ³n de sustancias quÃ­micas bÃ¡sicas</t>
  </si>
  <si>
    <t xml:space="preserve"> FabricaciÃ³n de productos quÃ­micos ncp</t>
  </si>
  <si>
    <t xml:space="preserve"> FabricaciÃ³n de fibras manufacturadas</t>
  </si>
  <si>
    <t xml:space="preserve"> Servicios industriales para la fabricaciÃ³n de sustancias y productos quÃ­micos</t>
  </si>
  <si>
    <t xml:space="preserve"> FabricaciÃ³n de productos farmaceÃºticos, sustancias quÃ­micas medicinales y productos botÃ¡nicos de uso farmaceÃºtico</t>
  </si>
  <si>
    <t xml:space="preserve"> FabricaciÃ³n de productos de plÃ¡stico</t>
  </si>
  <si>
    <t xml:space="preserve"> FabricaciÃ³n de productos de caucho</t>
  </si>
  <si>
    <t xml:space="preserve"> FabricaciÃ³n de productos minerales no metÃ¡licos ncp</t>
  </si>
  <si>
    <t xml:space="preserve"> FabricaciÃ³n de vidrio y productos de vidrio</t>
  </si>
  <si>
    <t xml:space="preserve"> FundiciÃ³n de metales</t>
  </si>
  <si>
    <t xml:space="preserve"> Industrias bÃ¡sicas de hierro y acero</t>
  </si>
  <si>
    <t xml:space="preserve"> FabricaciÃ³n de productos primarios de metales preciosos y metales no ferrosos</t>
  </si>
  <si>
    <t xml:space="preserve"> FabricaciÃ³n de productos elaborados de metal ncp</t>
  </si>
  <si>
    <t xml:space="preserve"> FabricaciÃ³n de productos metÃ¡licos para uso estructural, tanques, depÃ³sitos y generadores de vapor</t>
  </si>
  <si>
    <t xml:space="preserve"> FabricaciÃ³n de armas y municiones</t>
  </si>
  <si>
    <t xml:space="preserve"> FabricaciÃ³n de componentes electrÃ³nicos</t>
  </si>
  <si>
    <t xml:space="preserve"> FabricaciÃ³n de equipos y productos informÃ¡ticos</t>
  </si>
  <si>
    <t xml:space="preserve"> FabricaciÃ³n de aparatos e instrumentos para medir, verificar, ensayar, navegar y otros fines, excepto instrumentos de Ã³ptica</t>
  </si>
  <si>
    <t xml:space="preserve"> FabricaciÃ³n  de equipos de comunicaciones y transmisores de radio y televisiÃ³n</t>
  </si>
  <si>
    <t xml:space="preserve"> FabricaciÃ³n de soportes Ã³pticos y magnÃ©ticos</t>
  </si>
  <si>
    <t xml:space="preserve"> FabricaciÃ³n de equipo mÃ©dico y quirÃºrgico y de aparatos ortopÃ©dicos </t>
  </si>
  <si>
    <t xml:space="preserve"> FabricaciÃ³n de instrumentos de Ã³ptica y equipo fotogrÃ¡fico</t>
  </si>
  <si>
    <t xml:space="preserve"> FabricaciÃ³n de receptores de radio y televisiÃ³n, aparatos de grabaciÃ³n y reproducciÃ³n de sonido y video, y productos conexos</t>
  </si>
  <si>
    <t xml:space="preserve"> FabricaciÃ³n de motores, generadores y transformadores elÃ©ctricos y aparatos de distribuciÃ³n  y control de la energÃ­a elÃ©ctrica</t>
  </si>
  <si>
    <t xml:space="preserve"> FabricaciÃ³n de hilos y cables aislados</t>
  </si>
  <si>
    <t xml:space="preserve"> FabricaciÃ³n de aparatos de uso domÃ©stico ncp</t>
  </si>
  <si>
    <t xml:space="preserve"> FabricaciÃ³n de lÃ¡mparas elÃ©ctricas y equipo de iluminaciÃ³n</t>
  </si>
  <si>
    <t>FabricaciÃ³n de acumuladores,  pilas y baterÃ­as primarias</t>
  </si>
  <si>
    <t xml:space="preserve"> FabricaciÃ³n  de equipo elÃ©ctrico ncp</t>
  </si>
  <si>
    <t xml:space="preserve"> FabricaciÃ³n de maquinaria y equipo de uso general</t>
  </si>
  <si>
    <t xml:space="preserve"> FabricaciÃ³n de maquinaria y equipo de uso especial</t>
  </si>
  <si>
    <t xml:space="preserve"> FabricaciÃ³n de partes, piezas y accesorios para vehÃ­culos automotores y sus motores</t>
  </si>
  <si>
    <t xml:space="preserve"> FabricaciÃ³n de vehÃ­culos automotores</t>
  </si>
  <si>
    <t xml:space="preserve"> FabricaciÃ³n  de  carrocerÃ­as  para  vehÃ­culos  automotores</t>
  </si>
  <si>
    <t xml:space="preserve"> FabricaciÃ³n de equipo de transporte ncp</t>
  </si>
  <si>
    <t xml:space="preserve"> ConstrucciÃ³n y reparaciÃ³n de buques y embarcaciones</t>
  </si>
  <si>
    <t xml:space="preserve"> FabricaciÃ³n y reparaciÃ³n de locomotoras y de material rodante para transporte ferroviario</t>
  </si>
  <si>
    <t xml:space="preserve"> FabricaciÃ³n y reparaciÃ³n de aeronaves </t>
  </si>
  <si>
    <t xml:space="preserve"> FabricaciÃ³n de muebles y colchones</t>
  </si>
  <si>
    <t xml:space="preserve"> FabricaciÃ³n de joyas, bijouterie y artÃ­culos conexos</t>
  </si>
  <si>
    <t xml:space="preserve"> FabricaciÃ³n de instrumentos de mÃºsica</t>
  </si>
  <si>
    <t xml:space="preserve"> FabricaciÃ³n de juegos y juguetes</t>
  </si>
  <si>
    <t xml:space="preserve"> FabricaciÃ³n de artÃ­culos de deporte</t>
  </si>
  <si>
    <t xml:space="preserve"> ReparaciÃ³n y mantenimiento de mÃ¡quinas y equipo</t>
  </si>
  <si>
    <t xml:space="preserve"> InstalaciÃ³n de maquinaria y equipos industriales</t>
  </si>
  <si>
    <t xml:space="preserve"> GeneraciÃ³n, transporte y distribuciÃ³n de energÃ­a elÃ©ctrica</t>
  </si>
  <si>
    <t xml:space="preserve"> FabricaciÃ³n y distribuciÃ³n de gas  y de combustibles gaseosos por tuberÃ­as</t>
  </si>
  <si>
    <t xml:space="preserve"> Suministro de vapor y aire acondicionado</t>
  </si>
  <si>
    <t xml:space="preserve"> CaptaciÃ³n, depuraciÃ³n y distribuciÃ³n de agua</t>
  </si>
  <si>
    <t xml:space="preserve"> Servicios de depuraciÃ³n de aguas residuales, alcantarillado y cloacas</t>
  </si>
  <si>
    <t xml:space="preserve"> RecolecciÃ³n, transporte, tratamiento y disposiciÃ³n final de residuos</t>
  </si>
  <si>
    <t xml:space="preserve"> RecuperaciÃ³n de materiales y deshechos</t>
  </si>
  <si>
    <t xml:space="preserve"> DescontaminaciÃ³n y otros servicios de gestiÃ³n de residuos</t>
  </si>
  <si>
    <t xml:space="preserve"> ConstrucciÃ³n de edificios y sus partes </t>
  </si>
  <si>
    <t xml:space="preserve"> ConstrucciÃ³n, reforma y reparaciÃ³n de obras de infraestructura para el transporte </t>
  </si>
  <si>
    <t xml:space="preserve"> Obras de ingenierÃ­a civil ncp</t>
  </si>
  <si>
    <t xml:space="preserve"> ConstrucciÃ³n de proyectos de servicios pÃºblicos</t>
  </si>
  <si>
    <t xml:space="preserve"> Instalaciones para edificios y obras de ingenierÃ­a civil</t>
  </si>
  <si>
    <t xml:space="preserve"> TerminaciÃ³n de edificios </t>
  </si>
  <si>
    <t xml:space="preserve"> Alquiler de equipo de construcciÃ³n o demoliciÃ³n dotado de operarios y actividades especializadas de construcciÃ³n ncp</t>
  </si>
  <si>
    <t xml:space="preserve"> DemoliciÃ³n, movimiento y preparaciÃ³n de terrenos para obras</t>
  </si>
  <si>
    <t xml:space="preserve"> Mantenimiento y reparaciÃ³n de vehÃ­culos automotores, excepto motocicletas</t>
  </si>
  <si>
    <t xml:space="preserve"> Venta, mantenimiento y reparaciÃ³n de motocicletas y de sus partes, piezas y accesorios</t>
  </si>
  <si>
    <t xml:space="preserve"> Venta de vehÃ­culos automotores, excepto motocicletas</t>
  </si>
  <si>
    <t xml:space="preserve"> Venta de partes, piezas y accesorios de vehÃ­culos automotores</t>
  </si>
  <si>
    <t>Venta al por mayor de artÃ­culos de uso domÃ©stico y/o personal</t>
  </si>
  <si>
    <t>Venta al por mayor de mercancÃ­as ncp</t>
  </si>
  <si>
    <t>Venta al por mayor de alimentos, bebidas y tabaco</t>
  </si>
  <si>
    <t>Venta al por mayor en comisiÃ³n o consignaciÃ³n</t>
  </si>
  <si>
    <t>Venta al por mayor especializada</t>
  </si>
  <si>
    <t>Venta al por mayor de materias primas agropecuarias y de animales vivos</t>
  </si>
  <si>
    <t>Venta al por mayor de mÃ¡quinas, equipo y materiales conexos</t>
  </si>
  <si>
    <t>Venta al por menor en comercios no especializados</t>
  </si>
  <si>
    <t>Venta al por menor no realizada en comercios, puestos o mercados</t>
  </si>
  <si>
    <t>Venta al por menor de equipos de uso domÃ©stico ncp en comercios especializados</t>
  </si>
  <si>
    <t>Venta al por menor de productos alimenticios, bebidas y tabaco en comercios especializados</t>
  </si>
  <si>
    <t>Venta al por menor de productos ncp, en comercios especializados</t>
  </si>
  <si>
    <t>Venta al por menor de bienes culturales y recreativos en comercios especializados</t>
  </si>
  <si>
    <t>Venta al por menor de equipos, perifÃ©ricos,  accesorios y programas informÃ¡ticos</t>
  </si>
  <si>
    <t>Venta al por menor de combustible para vehÃ­culos automotores y motocicletas</t>
  </si>
  <si>
    <t>Venta al por menor en puestos mÃ³viles y mercados</t>
  </si>
  <si>
    <t xml:space="preserve">Servicio de transporte automotor </t>
  </si>
  <si>
    <t>Servicio de transporte ferroviario</t>
  </si>
  <si>
    <t>Servicio de transporte por tuberÃ­as</t>
  </si>
  <si>
    <t>Servicio de transporte fluvial y lacustre</t>
  </si>
  <si>
    <t>Servicio de transporte marÃ­timo</t>
  </si>
  <si>
    <t>Servicio de transporte aÃ©reo de cargas</t>
  </si>
  <si>
    <t>Servicio de transporte aÃ©reo de pasajeros</t>
  </si>
  <si>
    <t xml:space="preserve">Servicios de gestiÃ³n y logÃ­stica para el transporte de mercaderÃ­as </t>
  </si>
  <si>
    <t xml:space="preserve">Servicios de manipulaciÃ³n de cargas </t>
  </si>
  <si>
    <t>Servicios complementarios para el transporte</t>
  </si>
  <si>
    <t>Servicios de almacenamiento y depÃ³sito</t>
  </si>
  <si>
    <t>Servicios de correos y mensajerÃ­as</t>
  </si>
  <si>
    <t xml:space="preserve"> Servicios de alojamiento, excepto en camping</t>
  </si>
  <si>
    <t xml:space="preserve"> Servicios de alojamiento en campings</t>
  </si>
  <si>
    <t xml:space="preserve"> Servicios de preparaciÃ³n de comidas para empresas y  servicios de comidas ncp</t>
  </si>
  <si>
    <t xml:space="preserve"> Servicios de expendio de comidas y bebidas</t>
  </si>
  <si>
    <t xml:space="preserve"> EdiciÃ³n</t>
  </si>
  <si>
    <t xml:space="preserve"> Servicios de cinematografÃ­a</t>
  </si>
  <si>
    <t xml:space="preserve"> Servicios de grabaciÃ³n de sonido y ediciÃ³n de mÃºsica</t>
  </si>
  <si>
    <t xml:space="preserve"> EmisiÃ³n y retransmisiÃ³n de radio</t>
  </si>
  <si>
    <t xml:space="preserve"> Servicios de televisiÃ³n</t>
  </si>
  <si>
    <t xml:space="preserve"> Servicios de telefonÃ­a fija</t>
  </si>
  <si>
    <t xml:space="preserve"> Servicios de telecomunicaciÃ³n vÃ­a internet</t>
  </si>
  <si>
    <t xml:space="preserve"> Servicios de telefonÃ­a mÃ³vil</t>
  </si>
  <si>
    <t xml:space="preserve"> Servicios de telecomunicaciones ncp</t>
  </si>
  <si>
    <t xml:space="preserve"> Servicios de telecomunicaciones vÃ­a satÃ©lite, excepto servicios de transmisiÃ³n de televisiÃ³n</t>
  </si>
  <si>
    <t xml:space="preserve"> Servicios de programaciÃ³n y consultorÃ­a informÃ¡tica y actividades conexas</t>
  </si>
  <si>
    <t xml:space="preserve"> Procesamiento de datos,  hospedaje y actividades conexas</t>
  </si>
  <si>
    <t xml:space="preserve"> Servicios de agencias de noticias y servicios de informaciÃ³n ncp</t>
  </si>
  <si>
    <t xml:space="preserve"> IntermediaciÃ³n monetaria </t>
  </si>
  <si>
    <t xml:space="preserve"> Servicios de sociedades de cartera</t>
  </si>
  <si>
    <t xml:space="preserve"> Servicios financieros excepto los de la banca central y las entidades financieras</t>
  </si>
  <si>
    <t xml:space="preserve"> Fondos y sociedades de inversiÃ³n y entidades financieras similares</t>
  </si>
  <si>
    <t xml:space="preserve"> AdministraciÃ³n de fondos de pensiones</t>
  </si>
  <si>
    <t xml:space="preserve"> Servicios de seguros</t>
  </si>
  <si>
    <t xml:space="preserve"> Reaseguros</t>
  </si>
  <si>
    <t xml:space="preserve"> Servicios de gestiÃ³n de fondos a cambio de una retribuciÃ³n o por contrata</t>
  </si>
  <si>
    <t xml:space="preserve"> Servicios auxiliares a la actividad financiera, excepto a los servicios de seguros </t>
  </si>
  <si>
    <t xml:space="preserve"> Servicios auxiliares a los servicios de seguros </t>
  </si>
  <si>
    <t xml:space="preserve"> Servicios inmobiliarios realizados a cambio de una retribuciÃ³n o por contrata</t>
  </si>
  <si>
    <t xml:space="preserve"> Servicios inmobiliarios realizados por cuenta propia, con bienes propios o arrendados</t>
  </si>
  <si>
    <t xml:space="preserve"> Servicios jurÃ­dicos</t>
  </si>
  <si>
    <t xml:space="preserve"> Servicios de contabilidad, auditorÃ­a y asesorÃ­a fiscal</t>
  </si>
  <si>
    <t xml:space="preserve"> Servicios de asesoramiento, direcciÃ³n y gestiÃ³n empresarial </t>
  </si>
  <si>
    <t xml:space="preserve"> Ensayos y anÃ¡lisis tÃ©cnicos</t>
  </si>
  <si>
    <t xml:space="preserve"> Servicios de arquitectura e ingenierÃ­a y servicios tÃ©cnicos ncp</t>
  </si>
  <si>
    <t xml:space="preserve"> InvestigaciÃ³n y desarrollo experimental en el campo de la ingenierÃ­a y de las ciencias exactas y naturales</t>
  </si>
  <si>
    <t xml:space="preserve"> InvestigaciÃ³n  y desarrollo experimental en el campo de las ciencias sociales y las humanidades</t>
  </si>
  <si>
    <t xml:space="preserve"> Servicios de publicidad</t>
  </si>
  <si>
    <t xml:space="preserve"> Estudio de mercado, realizaciÃ³n de encuestas de opiniÃ³n pÃºblica</t>
  </si>
  <si>
    <t xml:space="preserve"> Actividades profesionales, cientÃ­ficas y tÃ©cnicas ncp</t>
  </si>
  <si>
    <t xml:space="preserve"> Servicios de diseÃ±o especializado</t>
  </si>
  <si>
    <t xml:space="preserve"> Servicios de fotografÃ­a </t>
  </si>
  <si>
    <t xml:space="preserve"> Servicios veterinarios</t>
  </si>
  <si>
    <t xml:space="preserve"> Alquiler de vehÃ­culos automotores y equipo de transporte sin conductor ni operarios</t>
  </si>
  <si>
    <t xml:space="preserve"> Alquiler de maquinaria y equipo ncp, sin personal</t>
  </si>
  <si>
    <t xml:space="preserve"> Alquiler de efectos personales y enseres domÃ©sticos </t>
  </si>
  <si>
    <t xml:space="preserve"> Arrendamiento y gestiÃ³n de bienes intangibles no financieros</t>
  </si>
  <si>
    <t xml:space="preserve"> ObtenciÃ³n y dotaciÃ³n de personal</t>
  </si>
  <si>
    <t xml:space="preserve"> Servicios de agencias de viaje y otras actividades complementarias de apoyo turÃ­stico</t>
  </si>
  <si>
    <t xml:space="preserve"> Servicios de seguridad e investigaciÃ³n</t>
  </si>
  <si>
    <t xml:space="preserve"> Servicios de limpieza de edificios </t>
  </si>
  <si>
    <t xml:space="preserve"> Servicio combinado de apoyo a edificios</t>
  </si>
  <si>
    <t xml:space="preserve"> Servicios de jardinerÃ­a y mantenimiento de espacios verdes</t>
  </si>
  <si>
    <t xml:space="preserve"> Servicios empresariales ncp</t>
  </si>
  <si>
    <t xml:space="preserve"> Servicios de call center</t>
  </si>
  <si>
    <t xml:space="preserve"> Servicios de apoyo a la administraciÃ³n de oficinas y empresas</t>
  </si>
  <si>
    <t xml:space="preserve"> Servicios de organizaciÃ³n de convenciones y exposiciones comerciales, excepto culturales y deportivos</t>
  </si>
  <si>
    <t xml:space="preserve"> Servicios de la AdministraciÃ³n PÃºblica</t>
  </si>
  <si>
    <t xml:space="preserve"> Servicios de la seguridad social obligatoria, excepto obras sociales</t>
  </si>
  <si>
    <t xml:space="preserve"> PrestaciÃ³n pÃºblica de servicios a la comunidad en general</t>
  </si>
  <si>
    <t xml:space="preserve"> Servicios de enseÃ±anza ncp</t>
  </si>
  <si>
    <t xml:space="preserve"> EnseÃ±anza secundaria</t>
  </si>
  <si>
    <t xml:space="preserve"> EnseÃ±anza inicial y primaria</t>
  </si>
  <si>
    <t xml:space="preserve"> EnseÃ±anza superior y formaciÃ³n de posgrado</t>
  </si>
  <si>
    <t xml:space="preserve"> Servicios de apoyo a la educaciÃ³n</t>
  </si>
  <si>
    <t xml:space="preserve"> Servicios de emergencias y traslados</t>
  </si>
  <si>
    <t xml:space="preserve"> Servicios de prÃ¡cticas de diagnÃ³stico y tratamiento</t>
  </si>
  <si>
    <t xml:space="preserve"> Servicios de hospitales</t>
  </si>
  <si>
    <t xml:space="preserve"> Servicios de atenciÃ³n ambulatoria realizados por mÃ©dicos y odontÃ³logos</t>
  </si>
  <si>
    <t xml:space="preserve"> Servicios relacionados con la salud humana ncp</t>
  </si>
  <si>
    <t xml:space="preserve"> Servicios sociales con alojamiento</t>
  </si>
  <si>
    <t xml:space="preserve"> Servicios sociales sin alojamiento</t>
  </si>
  <si>
    <t xml:space="preserve"> Servicios artÃ­sticos y de espectÃ¡culos</t>
  </si>
  <si>
    <t xml:space="preserve"> Servicios de bibliotecas, archivos y museos y  servicios culturales ncp</t>
  </si>
  <si>
    <t xml:space="preserve"> Servicios  relacionados con juegos de azar y apuestas</t>
  </si>
  <si>
    <t xml:space="preserve"> Servicios para la prÃ¡ctica deportiva </t>
  </si>
  <si>
    <t xml:space="preserve"> Servicios de esparcimiento ncp</t>
  </si>
  <si>
    <t xml:space="preserve"> Servicios de asociaciones ncp</t>
  </si>
  <si>
    <t xml:space="preserve"> Servicios de sindicatos</t>
  </si>
  <si>
    <t xml:space="preserve"> Servicios de organizaciones empresariales, profesionales y de empleadores</t>
  </si>
  <si>
    <t xml:space="preserve"> ReparaciÃ³n y mantenimiento de equipos informÃ¡ticos y equipos de comunicaciÃ³n</t>
  </si>
  <si>
    <t xml:space="preserve"> ReparaciÃ³n de efectos personales y enseres domÃ©sticos</t>
  </si>
  <si>
    <t xml:space="preserve"> Servicios personales ncp</t>
  </si>
  <si>
    <t>Otros sectores</t>
  </si>
  <si>
    <t>saldo_total (miles de $)</t>
  </si>
  <si>
    <t>saldo_irregular (miles de $)</t>
  </si>
  <si>
    <t>NaN</t>
  </si>
  <si>
    <t>Tasa</t>
  </si>
  <si>
    <t>Monto (M de u$S)</t>
  </si>
  <si>
    <t>Sectores Industriales - Morosidad</t>
  </si>
  <si>
    <t>Sectores ARCA</t>
  </si>
  <si>
    <t>Clasificación Sectores CEU</t>
  </si>
  <si>
    <t>011. Cultivos temporales</t>
  </si>
  <si>
    <t>Agricultura, ganadería y silvicultura</t>
  </si>
  <si>
    <t>012. Cultivos perennes</t>
  </si>
  <si>
    <t>013. Producción de semillas y de otras formas de propagación de cultivos agrícolas</t>
  </si>
  <si>
    <t>014. Cría de animales</t>
  </si>
  <si>
    <t>016. Servicios de apoyo agrícolas y pecuarios</t>
  </si>
  <si>
    <t>017. Caza, repoblación  de animales de caza y servicios de apoyo</t>
  </si>
  <si>
    <t>021. Silvicultura</t>
  </si>
  <si>
    <t>022. Extracción de productos forestales</t>
  </si>
  <si>
    <t>024. Servicios de apoyo a la silvicultura</t>
  </si>
  <si>
    <t>031. Pesca y servicios de apoyo</t>
  </si>
  <si>
    <t>Pesca</t>
  </si>
  <si>
    <t>032. Explotación de criaderos de peces, granjas piscícolas y otros frutos acuáticos (acuicultura)</t>
  </si>
  <si>
    <t xml:space="preserve">051. Extracción y aglomeración de carbón </t>
  </si>
  <si>
    <t>Minería, petróleo y gas</t>
  </si>
  <si>
    <t>052. Extracción y aglomeración de lignito</t>
  </si>
  <si>
    <t>061. Extracción de petróleo crudo</t>
  </si>
  <si>
    <t>062. Extracción de gas natural</t>
  </si>
  <si>
    <t>071. Extracción de minerales de hierro</t>
  </si>
  <si>
    <t>072. Extracción de minerales metalíferos no ferrosos</t>
  </si>
  <si>
    <t>081. Extracción de piedra, arena y arcillas</t>
  </si>
  <si>
    <t>089. Explotación de minas y canteras n.c.p.</t>
  </si>
  <si>
    <t>091. Servicios de apoyo para la extracción de petróleo y gas natural</t>
  </si>
  <si>
    <t>099. Servicios de apoyo para la minería, excepto para la extracción de petróleo  y gas natural</t>
  </si>
  <si>
    <t>101. Producción y procesamiento de carne y productos cárnicos, excepto pescado</t>
  </si>
  <si>
    <t>Alimentos y bebidas</t>
  </si>
  <si>
    <t>102. Elaboración de pescado y productos de pescado</t>
  </si>
  <si>
    <t>103. Preparación de frutas, hortalizas y legumbres</t>
  </si>
  <si>
    <t>104. Elaboración de aceites y grasas de origen vegetal</t>
  </si>
  <si>
    <t>105. Elaboración de productos lácteos</t>
  </si>
  <si>
    <t xml:space="preserve">106. Elaboración de productos de molinería, almidones y productos derivados del almidón </t>
  </si>
  <si>
    <t>107. Elaboración de productos alimenticios n.c.p.</t>
  </si>
  <si>
    <t>108. Elaboración de alimentos preparados para animales</t>
  </si>
  <si>
    <t>109. Servicios industriales para la elaboración de alimentos y bebidas</t>
  </si>
  <si>
    <t>110. Elaboración de bebidas</t>
  </si>
  <si>
    <t>120. Elaboración de productos de tabaco</t>
  </si>
  <si>
    <t>Productos del tabaco</t>
  </si>
  <si>
    <t>131. Fabricación  de hilados y  tejidos, acabado de productos textiles</t>
  </si>
  <si>
    <t>Textil, indumentaria, calzado y cuero</t>
  </si>
  <si>
    <t>139. Fabricación de productos textiles n.c.p.</t>
  </si>
  <si>
    <t>141. Confección de prendas de vestir, excepto prendas de piel</t>
  </si>
  <si>
    <t>142. Terminación y teñido de pieles; fabricación de artículos de piel</t>
  </si>
  <si>
    <t>143 .Fabricación de prendas de vestir de punto</t>
  </si>
  <si>
    <t>149. Servicios industriales para la industria confeccionista</t>
  </si>
  <si>
    <t xml:space="preserve">151. Curtido y terminación de cueros; fabricación de artículos de marroquinería y talabartería </t>
  </si>
  <si>
    <t>152. Fabricación de calzado y de sus partes</t>
  </si>
  <si>
    <t>161. Aserrado y cepillado de madera</t>
  </si>
  <si>
    <t>Madera, papel y cartón</t>
  </si>
  <si>
    <t>162. Fabricación de productos de madera, corcho, paja y materiales trenzables</t>
  </si>
  <si>
    <t>170. Fabricación de papel y de productos de papel</t>
  </si>
  <si>
    <t>181. Impresión y servicios relacionados con la impresión</t>
  </si>
  <si>
    <t>Edición e Impresión</t>
  </si>
  <si>
    <t>182. Reproducción de grabaciones</t>
  </si>
  <si>
    <t>191. Fabricación de productos de hornos de coque</t>
  </si>
  <si>
    <t>Refinación del Petróleo</t>
  </si>
  <si>
    <t>192. Fabricación de productos de la refinación del petróleo</t>
  </si>
  <si>
    <t>201. Fabricación de sustancias químicas básicas</t>
  </si>
  <si>
    <t>Sustancias y productos químicos</t>
  </si>
  <si>
    <t>202. Fabricación de productos químicos n.c.p.</t>
  </si>
  <si>
    <t>203. Fabricación de fibras manufacturadas</t>
  </si>
  <si>
    <t>204. Servicios industriales para la fabricación de sustancias y productos químicos</t>
  </si>
  <si>
    <t>210. Fabricación de productos farmaceúticos, sustancias químicas medicinales y productos botánicos de uso farmaceútico</t>
  </si>
  <si>
    <t>221. Fabricación de productos de caucho</t>
  </si>
  <si>
    <t>Caucho y plástico</t>
  </si>
  <si>
    <t>222. Fabricación de productos de plástico</t>
  </si>
  <si>
    <t>231. Fabricación de vidrio y productos de vidrio</t>
  </si>
  <si>
    <t>Minerales no metálicos</t>
  </si>
  <si>
    <t>239. Fabricación de productos minerales no metálicos n.c.p.</t>
  </si>
  <si>
    <t>241. Industrias básicas de hierro y acero</t>
  </si>
  <si>
    <t>Metales básicos</t>
  </si>
  <si>
    <t>242. Fabricación de productos primarios de metales preciosos y metales no ferrosos</t>
  </si>
  <si>
    <t>243. Fundición de metales</t>
  </si>
  <si>
    <t>251. Fabricación de productos metálicos para uso estructural, tanques, depósitos y generadores de vapor</t>
  </si>
  <si>
    <t>Metalmecánica y electrónicos</t>
  </si>
  <si>
    <t>252. Fabricación de armas y municiones</t>
  </si>
  <si>
    <t>259. Fabricación de productos elaborados de metal n.c.p.; servicios de trabajo de metales</t>
  </si>
  <si>
    <t>261. Fabricación de componentes electrónicos</t>
  </si>
  <si>
    <t>262. Fabricación de equipos y productos informáticos</t>
  </si>
  <si>
    <t>263. Fabricación  de equipos de comunicaciones y transmisores de radio y televisión</t>
  </si>
  <si>
    <t>264. Fabricación de receptores de radio y televisión, aparatos de grabación y reproducción de sonido y video, y productos conexos</t>
  </si>
  <si>
    <t>265. Fabricación de aparatos e instrumentos para medir, verificar, ensayar, navegar y otros fines, excepto instrumentos de óptica</t>
  </si>
  <si>
    <t xml:space="preserve">266. Fabricación de equipo médico y quirúrgico y de aparatos ortopédicos </t>
  </si>
  <si>
    <t>267. Fabricación de instrumentos de óptica y equipo fotográfico</t>
  </si>
  <si>
    <t>268. Fabricación de soportes ópticos y magnéticos</t>
  </si>
  <si>
    <t>271. Fabricación de motores, generadores y transformadores eléctricos y aparatos de distribución  y control de la energía eléctrica</t>
  </si>
  <si>
    <t>272.Fabricación de acumuladores,  pilas y baterías primarias</t>
  </si>
  <si>
    <t>273. Fabricación de hilos y cables aislados</t>
  </si>
  <si>
    <t>274. Fabricación de lámparas eléctricas y equipo de iluminación</t>
  </si>
  <si>
    <t>275. Fabricación de aparatos de uso doméstico n.c.p.</t>
  </si>
  <si>
    <t>279. Fabricación  de equipo eléctrico n.c.p.</t>
  </si>
  <si>
    <t>281. Fabricación de maquinaria y equipo de uso general</t>
  </si>
  <si>
    <t>282. Fabricación de maquinaria y equipo de uso especial</t>
  </si>
  <si>
    <t>291. Fabricación de vehículos automotores</t>
  </si>
  <si>
    <t>Automotores y autopartes</t>
  </si>
  <si>
    <t>292. Fabricación  de  carrocerías  para  vehículos  automotores;  fabricación de remolques y semirremolques</t>
  </si>
  <si>
    <t>293. Fabricación de partes, piezas y accesorios para vehículos automotores y sus motores</t>
  </si>
  <si>
    <t>301. Construcción y reparación de buques y embarcaciones</t>
  </si>
  <si>
    <t>302. Fabricación y reparación de locomotoras y de material rodante para transporte ferroviario</t>
  </si>
  <si>
    <t xml:space="preserve">303. Fabricación y reparación de aeronaves </t>
  </si>
  <si>
    <t>309. Fabricación de equipo de transporte n.c.p.</t>
  </si>
  <si>
    <t>310. Fabricación de muebles y colchones</t>
  </si>
  <si>
    <t>Otras industrias</t>
  </si>
  <si>
    <t>321. Fabricación de joyas, bijouterie y artículos conexos</t>
  </si>
  <si>
    <t>322. Fabricación de instrumentos de música</t>
  </si>
  <si>
    <t>323. Fabricación de artículos de deporte</t>
  </si>
  <si>
    <t>324. Fabricación de juegos y juguetes</t>
  </si>
  <si>
    <t>329. Industrias manufactureras n.c.p.</t>
  </si>
  <si>
    <t>331. Reparación y mantenimiento de máquinas y equipo</t>
  </si>
  <si>
    <t>332. Instalación de maquinaria y equipos industriales</t>
  </si>
  <si>
    <t>351. Generación, transporte y distribución de energía eléctrica</t>
  </si>
  <si>
    <t>Electricidad, gas y agua</t>
  </si>
  <si>
    <t>352. Fabricación y distribución de gas  y de combustibles gaseosos por tuberías</t>
  </si>
  <si>
    <t>353. Suministro de vapor y aire acondicionado</t>
  </si>
  <si>
    <t>360. Captación, depuración y distribución de agua</t>
  </si>
  <si>
    <t>370. Servicios de depuración de aguas residuales, alcantarillado y cloacas</t>
  </si>
  <si>
    <t>381. Recolección, transporte, tratamiento y disposición final de residuos</t>
  </si>
  <si>
    <t>382. Recuperación de materiales y deshechos</t>
  </si>
  <si>
    <t>390. Descontaminación y otros servicios de gestión de residuos</t>
  </si>
  <si>
    <t xml:space="preserve">410. Construcción de edificios y sus partes </t>
  </si>
  <si>
    <t>Construcción</t>
  </si>
  <si>
    <t xml:space="preserve">421. Construcción, reforma y reparación de obras de infraestructura para el transporte </t>
  </si>
  <si>
    <t>422. Construcción de proyectos de servicios públicos</t>
  </si>
  <si>
    <t>429. Obras de ingeniería civil n.c.p.</t>
  </si>
  <si>
    <t>431. Demolición, movimiento y preparación de terrenos para obras</t>
  </si>
  <si>
    <t>432. Instalaciones para edificios y obras de ingeniería civil</t>
  </si>
  <si>
    <t xml:space="preserve">433. Terminación de edificios </t>
  </si>
  <si>
    <t>439. Alquiler de equipo de construcción o demolición dotado de operarios y actividades especializadas de construcción n.c.p.</t>
  </si>
  <si>
    <t>451. Venta de vehículos automotores, excepto motocicletas</t>
  </si>
  <si>
    <t>Comercio</t>
  </si>
  <si>
    <t>452. Mantenimiento y reparación de vehículos automotores, excepto motocicletas</t>
  </si>
  <si>
    <t>453. Venta de partes, piezas y accesorios de vehículos automotores</t>
  </si>
  <si>
    <t>454. Venta, mantenimiento y reparación de motocicletas y de sus partes, piezas y accesorios</t>
  </si>
  <si>
    <t>461.Venta al por mayor en comisión o consignación</t>
  </si>
  <si>
    <t>462.Venta al por mayor de materias primas agropecuarias y de animales vivos</t>
  </si>
  <si>
    <t>463.Venta al por mayor de alimentos, bebidas y tabaco</t>
  </si>
  <si>
    <t>464.Venta al por mayor de artículos de uso doméstico y/o personal</t>
  </si>
  <si>
    <t>465.Venta al por mayor de máquinas, equipo y materiales conexos</t>
  </si>
  <si>
    <t>466.Venta al por mayor especializada</t>
  </si>
  <si>
    <t>469.Venta al por mayor de mercancías n.c.p.</t>
  </si>
  <si>
    <t>471.Venta al por menor en comercios no especializados</t>
  </si>
  <si>
    <t>472.Venta al por menor de productos alimenticios, bebidas y tabaco en comercios especializados</t>
  </si>
  <si>
    <t>473.Venta al por menor de combustible para vehículos automotores y motocicletas</t>
  </si>
  <si>
    <t>474.Venta al por menor de equipos, periféricos,  accesorios y programas informáticos;  equipos de telecomunicaciones en comercios especializados</t>
  </si>
  <si>
    <t>475.Venta al por menor de equipos de uso doméstico n.c.p. en comercios especializados</t>
  </si>
  <si>
    <t>476.Venta al por menor de bienes culturales y recreativos en comercios especializados</t>
  </si>
  <si>
    <t>477.Venta al por menor de productos n.c.p., en comercios especializados</t>
  </si>
  <si>
    <t>478.Venta al por menor en puestos móviles y mercados</t>
  </si>
  <si>
    <t>479.Venta al por menor no realizada en comercios, puestos o mercados</t>
  </si>
  <si>
    <t>491.Servicio de transporte ferroviario</t>
  </si>
  <si>
    <t>Transporte y comunicación</t>
  </si>
  <si>
    <t xml:space="preserve">492.Servicio de transporte automotor </t>
  </si>
  <si>
    <t>493.Servicio de transporte por tuberías</t>
  </si>
  <si>
    <t>501.Servicio de transporte marítimo</t>
  </si>
  <si>
    <t>502.Servicio de transporte fluvial y lacustre</t>
  </si>
  <si>
    <t>511.Servicio de transporte aéreo de pasajeros</t>
  </si>
  <si>
    <t>512.Servicio de transporte aéreo de cargas</t>
  </si>
  <si>
    <t xml:space="preserve">521.Servicios de manipulación de cargas </t>
  </si>
  <si>
    <t>522.Servicios de almacenamiento y depósito</t>
  </si>
  <si>
    <t xml:space="preserve">523.Servicios de gestión y logística para el transporte de mercaderías </t>
  </si>
  <si>
    <t>524.Servicios complementarios para el transporte</t>
  </si>
  <si>
    <t>530.Servicios de correos y mensajerías</t>
  </si>
  <si>
    <t>551. Servicios de alojamiento, excepto en camping</t>
  </si>
  <si>
    <t>Hoteles y restaurantes</t>
  </si>
  <si>
    <t>552. Servicios de alojamiento en campings</t>
  </si>
  <si>
    <t>561. Servicios de expendio de comidas y bebidas</t>
  </si>
  <si>
    <t>562. Servicios de preparación de comidas para empresas y  servicios de comidas n.c.p.</t>
  </si>
  <si>
    <t>581. Edición</t>
  </si>
  <si>
    <t>591. Servicios de cinematografía</t>
  </si>
  <si>
    <t>592. Servicios de grabación de sonido y edición de música</t>
  </si>
  <si>
    <t>601. Emisión y retransmisión de radio</t>
  </si>
  <si>
    <t>602. Servicios de televisión</t>
  </si>
  <si>
    <t>611. Servicios de telefonía fija</t>
  </si>
  <si>
    <t>612. Servicios de telefonía móvil</t>
  </si>
  <si>
    <t>613. Servicios de telecomunicaciones vía satélite, excepto servicios de transmisión de televisión</t>
  </si>
  <si>
    <t>614. Servicios de telecomunicación vía internet</t>
  </si>
  <si>
    <t>619. Servicios de telecomunicaciones n.c.p.</t>
  </si>
  <si>
    <t>620. Servicios de programación y consultoría informática y actividades conexas</t>
  </si>
  <si>
    <t>631. Procesamiento de datos,  hospedaje y actividades conexas; portales web</t>
  </si>
  <si>
    <t>639. Servicios de agencias de noticias y servicios de información n.c.p.</t>
  </si>
  <si>
    <t xml:space="preserve">641. Intermediación monetaria </t>
  </si>
  <si>
    <t>Intermediación financiera</t>
  </si>
  <si>
    <t>642. Servicios de sociedades de cartera</t>
  </si>
  <si>
    <t>643. Fondos y sociedades de inversión y entidades financieras similares</t>
  </si>
  <si>
    <t>649. Servicios financieros excepto los de la banca central y las entidades financieras</t>
  </si>
  <si>
    <t>651. Servicios de seguros</t>
  </si>
  <si>
    <t>652. Reaseguros</t>
  </si>
  <si>
    <t>653. Administración de fondos de pensiones</t>
  </si>
  <si>
    <t xml:space="preserve">661. Servicios auxiliares a la actividad financiera, excepto a los servicios de seguros </t>
  </si>
  <si>
    <t xml:space="preserve">662. Servicios auxiliares a los servicios de seguros </t>
  </si>
  <si>
    <t>663. Servicios de gestión de fondos a cambio de una retribución o por contrata</t>
  </si>
  <si>
    <t>681. Servicios inmobiliarios realizados por cuenta propia, con bienes propios o arrendados</t>
  </si>
  <si>
    <t>Actividades inmobiliarias, empresariales y de alquiler</t>
  </si>
  <si>
    <t>682. Servicios inmobiliarios realizados a cambio de una retribución o por contrata</t>
  </si>
  <si>
    <t>691. Servicios jurídicos</t>
  </si>
  <si>
    <t>692. Servicios de contabilidad, auditoría y asesoría fiscal</t>
  </si>
  <si>
    <t xml:space="preserve">702. Servicios de asesoramiento, dirección y gestión empresarial </t>
  </si>
  <si>
    <t>711. Servicios de arquitectura e ingeniería y servicios técnicos n.c.p.</t>
  </si>
  <si>
    <t>712. Ensayos y análisis técnicos</t>
  </si>
  <si>
    <t>721. Investigación y desarrollo experimental en el campo de la ingeniería y de las ciencias exactas y naturales</t>
  </si>
  <si>
    <t>722. Investigación  y desarrollo experimental en el campo de las ciencias sociales y las humanidades</t>
  </si>
  <si>
    <t>731. Servicios de publicidad</t>
  </si>
  <si>
    <t>732. Estudio de mercado, realización de encuestas de opinión pública</t>
  </si>
  <si>
    <t>741. Servicios de diseño especializado</t>
  </si>
  <si>
    <t xml:space="preserve">742. Servicios de fotografía </t>
  </si>
  <si>
    <t>749. Actividades profesionales, científicas y técnicas n.c.p.</t>
  </si>
  <si>
    <t>750. Servicios veterinarios</t>
  </si>
  <si>
    <t>771. Alquiler de vehículos automotores y equipo de transporte sin conductor ni operarios</t>
  </si>
  <si>
    <t xml:space="preserve">772. Alquiler de efectos personales y enseres domésticos </t>
  </si>
  <si>
    <t>773. Alquiler de maquinaria y equipo n.c.p., sin personal</t>
  </si>
  <si>
    <t>774. Arrendamiento y gestión de bienes intangibles no financieros</t>
  </si>
  <si>
    <t>780. Obtención y dotación de personal</t>
  </si>
  <si>
    <t>791. Servicios de agencias de viaje y otras actividades complementarias de apoyo turístico</t>
  </si>
  <si>
    <t>801. Servicios de seguridad e investigación</t>
  </si>
  <si>
    <t>811. Servicio combinado de apoyo a edificios</t>
  </si>
  <si>
    <t xml:space="preserve">812. Servicios de limpieza de edificios </t>
  </si>
  <si>
    <t>813. Servicios de jardinería y mantenimiento de espacios verdes</t>
  </si>
  <si>
    <t>821. Servicios de apoyo a la administración de oficinas y empresas</t>
  </si>
  <si>
    <t>822. Servicios de call center</t>
  </si>
  <si>
    <t>823. Servicios de organización de convenciones y exposiciones comerciales, excepto culturales y deportivos</t>
  </si>
  <si>
    <t>829. Servicios empresariales n.c.p.</t>
  </si>
  <si>
    <t>841. Servicios de la Administración Pública</t>
  </si>
  <si>
    <t>Administración pública</t>
  </si>
  <si>
    <t>842. Prestación pública de servicios a la comunidad en general</t>
  </si>
  <si>
    <t>843. Servicios de la seguridad social obligatoria, excepto obras sociales</t>
  </si>
  <si>
    <t>851. Enseñanza inicial y primaria</t>
  </si>
  <si>
    <t>Enseñanza</t>
  </si>
  <si>
    <t>852. Enseñanza secundaria</t>
  </si>
  <si>
    <t>853. Enseñanza superior y formación de posgrado</t>
  </si>
  <si>
    <t>854. Servicios de enseñanza n.c.p.</t>
  </si>
  <si>
    <t>855. Servicios de apoyo a la educación</t>
  </si>
  <si>
    <t>861. Servicios de hospitales</t>
  </si>
  <si>
    <t>Otras actividades de servicios comunitarios, sociales y personales</t>
  </si>
  <si>
    <t>862. Servicios de atención ambulatoria realizados por médicos y odontólogos</t>
  </si>
  <si>
    <t>863. Servicios de prácticas de diagnóstico y tratamiento; servicios integrados de consulta, diagnóstico y tratamiento</t>
  </si>
  <si>
    <t>864. Servicios de emergencias y traslados</t>
  </si>
  <si>
    <t>869. Servicios relacionados con la salud humana n.c.p.</t>
  </si>
  <si>
    <t>870. Servicios sociales con alojamiento</t>
  </si>
  <si>
    <t>880. Servicios sociales sin alojamiento</t>
  </si>
  <si>
    <t>900. Servicios artísticos y de espectáculos</t>
  </si>
  <si>
    <t>910. Servicios de bibliotecas, archivos y museos y  servicios culturales n.c.p.</t>
  </si>
  <si>
    <t>920. Servicios  relacionados con juegos de azar y apuestas</t>
  </si>
  <si>
    <t xml:space="preserve">931. Servicios para la práctica deportiva </t>
  </si>
  <si>
    <t>939. Servicios de esparcimiento n.c.p.</t>
  </si>
  <si>
    <t>941. Servicios de organizaciones empresariales, profesionales y de empleadores</t>
  </si>
  <si>
    <t>942. Servicios de sindicatos</t>
  </si>
  <si>
    <t>949. Servicios de asociaciones n.c.p.</t>
  </si>
  <si>
    <t>951. Reparación y mantenimiento de equipos informáticos y equipos de comunicación</t>
  </si>
  <si>
    <t>952. Reparación de efectos personales y enseres domésticos</t>
  </si>
  <si>
    <t>960. Servicios personales n.c.p.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</si>
  <si>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</si>
  <si>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</si>
  <si>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</si>
  <si>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</si>
  <si>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</si>
  <si>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</si>
  <si>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</si>
  <si>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</si>
  <si>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</si>
  <si>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</si>
  <si>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120</t>
  </si>
  <si>
    <t>131</t>
  </si>
  <si>
    <t>139</t>
  </si>
  <si>
    <t>141</t>
  </si>
  <si>
    <t>142</t>
  </si>
  <si>
    <t>143</t>
  </si>
  <si>
    <t>149</t>
  </si>
  <si>
    <t>151</t>
  </si>
  <si>
    <t>152</t>
  </si>
  <si>
    <t>161</t>
  </si>
  <si>
    <t>162</t>
  </si>
  <si>
    <t>170</t>
  </si>
  <si>
    <t>181</t>
  </si>
  <si>
    <t>182</t>
  </si>
  <si>
    <t>191</t>
  </si>
  <si>
    <t>192</t>
  </si>
  <si>
    <t>201</t>
  </si>
  <si>
    <t>202</t>
  </si>
  <si>
    <t>203</t>
  </si>
  <si>
    <t>204</t>
  </si>
  <si>
    <t>210</t>
  </si>
  <si>
    <t>221</t>
  </si>
  <si>
    <t>222</t>
  </si>
  <si>
    <t>231</t>
  </si>
  <si>
    <t>239</t>
  </si>
  <si>
    <t>241</t>
  </si>
  <si>
    <t>242</t>
  </si>
  <si>
    <t>243</t>
  </si>
  <si>
    <t>251</t>
  </si>
  <si>
    <t>252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</si>
  <si>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</si>
  <si>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</si>
  <si>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</si>
  <si>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</si>
  <si>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</si>
  <si>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</si>
  <si>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</si>
  <si>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</si>
  <si>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</si>
  <si>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271</t>
  </si>
  <si>
    <t>272</t>
  </si>
  <si>
    <t>273</t>
  </si>
  <si>
    <t>274</t>
  </si>
  <si>
    <t>275</t>
  </si>
  <si>
    <t>279</t>
  </si>
  <si>
    <t>281</t>
  </si>
  <si>
    <t>282</t>
  </si>
  <si>
    <t>291</t>
  </si>
  <si>
    <t>292</t>
  </si>
  <si>
    <t>293</t>
  </si>
  <si>
    <t>301</t>
  </si>
  <si>
    <t>302</t>
  </si>
  <si>
    <t>303</t>
  </si>
  <si>
    <t>309</t>
  </si>
  <si>
    <t>310</t>
  </si>
  <si>
    <t>321</t>
  </si>
  <si>
    <t>322</t>
  </si>
  <si>
    <t>323</t>
  </si>
  <si>
    <t>324</t>
  </si>
  <si>
    <t>329</t>
  </si>
  <si>
    <t>331</t>
  </si>
  <si>
    <t>332</t>
  </si>
  <si>
    <t>351</t>
  </si>
  <si>
    <t>352</t>
  </si>
  <si>
    <t>353</t>
  </si>
  <si>
    <t>360</t>
  </si>
  <si>
    <t>370</t>
  </si>
  <si>
    <t>381</t>
  </si>
  <si>
    <t>382</t>
  </si>
  <si>
    <t>390</t>
  </si>
  <si>
    <t>410</t>
  </si>
  <si>
    <t>421</t>
  </si>
  <si>
    <t>422</t>
  </si>
  <si>
    <t>429</t>
  </si>
  <si>
    <t>431</t>
  </si>
  <si>
    <t>432</t>
  </si>
  <si>
    <t>433</t>
  </si>
  <si>
    <t>439</t>
  </si>
  <si>
    <t>451</t>
  </si>
  <si>
    <t>452</t>
  </si>
  <si>
    <t>453</t>
  </si>
  <si>
    <t>454</t>
  </si>
  <si>
    <t>461</t>
  </si>
  <si>
    <t>462</t>
  </si>
  <si>
    <t>463</t>
  </si>
  <si>
    <t>464</t>
  </si>
  <si>
    <t>465</t>
  </si>
  <si>
    <t>466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</si>
  <si>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</si>
  <si>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</si>
  <si>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</si>
  <si>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</si>
  <si>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</si>
  <si>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</si>
  <si>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</si>
  <si>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</si>
  <si>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</si>
  <si>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</si>
  <si>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491</t>
  </si>
  <si>
    <t>492</t>
  </si>
  <si>
    <t>493</t>
  </si>
  <si>
    <t>501</t>
  </si>
  <si>
    <t>502</t>
  </si>
  <si>
    <t>511</t>
  </si>
  <si>
    <t>512</t>
  </si>
  <si>
    <t>521</t>
  </si>
  <si>
    <t>522</t>
  </si>
  <si>
    <t>523</t>
  </si>
  <si>
    <t>524</t>
  </si>
  <si>
    <t>530</t>
  </si>
  <si>
    <t>551</t>
  </si>
  <si>
    <t>552</t>
  </si>
  <si>
    <t>561</t>
  </si>
  <si>
    <t>562</t>
  </si>
  <si>
    <t>581</t>
  </si>
  <si>
    <t>591</t>
  </si>
  <si>
    <t>592</t>
  </si>
  <si>
    <t>601</t>
  </si>
  <si>
    <t>602</t>
  </si>
  <si>
    <t>611</t>
  </si>
  <si>
    <t>612</t>
  </si>
  <si>
    <t>613</t>
  </si>
  <si>
    <t>614</t>
  </si>
  <si>
    <t>619</t>
  </si>
  <si>
    <t>620</t>
  </si>
  <si>
    <t>631</t>
  </si>
  <si>
    <t>639</t>
  </si>
  <si>
    <t>641</t>
  </si>
  <si>
    <t>642</t>
  </si>
  <si>
    <t>643</t>
  </si>
  <si>
    <t>649</t>
  </si>
  <si>
    <t>651</t>
  </si>
  <si>
    <t>652</t>
  </si>
  <si>
    <t>653</t>
  </si>
  <si>
    <t>661</t>
  </si>
  <si>
    <t>662</t>
  </si>
  <si>
    <t>663</t>
  </si>
  <si>
    <t>681</t>
  </si>
  <si>
    <t>682</t>
  </si>
  <si>
    <t>691</t>
  </si>
  <si>
    <t>692</t>
  </si>
  <si>
    <t>702</t>
  </si>
  <si>
    <t>711</t>
  </si>
  <si>
    <t>712</t>
  </si>
  <si>
    <t>721</t>
  </si>
  <si>
    <t>722</t>
  </si>
  <si>
    <t>731</t>
  </si>
  <si>
    <t>732</t>
  </si>
  <si>
    <t>741</t>
  </si>
  <si>
    <t>742</t>
  </si>
  <si>
    <t>749</t>
  </si>
  <si>
    <t>750</t>
  </si>
  <si>
    <t>771</t>
  </si>
  <si>
    <t>772</t>
  </si>
  <si>
    <t>773</t>
  </si>
  <si>
    <t>774</t>
  </si>
  <si>
    <t>780</t>
  </si>
  <si>
    <t>791</t>
  </si>
  <si>
    <t>801</t>
  </si>
  <si>
    <t>811</t>
  </si>
  <si>
    <t>812</t>
  </si>
  <si>
    <t>813</t>
  </si>
  <si>
    <t>821</t>
  </si>
  <si>
    <t>822</t>
  </si>
  <si>
    <t>823</t>
  </si>
  <si>
    <t>829</t>
  </si>
  <si>
    <t>841</t>
  </si>
  <si>
    <t>842</t>
  </si>
  <si>
    <t>843</t>
  </si>
  <si>
    <t>851</t>
  </si>
  <si>
    <t>852</t>
  </si>
  <si>
    <t>853</t>
  </si>
  <si>
    <t>854</t>
  </si>
  <si>
    <t>855</t>
  </si>
  <si>
    <t>861</t>
  </si>
  <si>
    <t>862</t>
  </si>
  <si>
    <t>863</t>
  </si>
  <si>
    <t>864</t>
  </si>
  <si>
    <t>869</t>
  </si>
  <si>
    <t>870</t>
  </si>
  <si>
    <t>880</t>
  </si>
  <si>
    <t>900</t>
  </si>
  <si>
    <t>910</t>
  </si>
  <si>
    <t>920</t>
  </si>
  <si>
    <t>931</t>
  </si>
  <si>
    <t>939</t>
  </si>
  <si>
    <t>941</t>
  </si>
  <si>
    <t>942</t>
  </si>
  <si>
    <t>949</t>
  </si>
  <si>
    <t>951</t>
  </si>
  <si>
    <t>952</t>
  </si>
  <si>
    <t>960</t>
  </si>
  <si>
    <t>11</t>
  </si>
  <si>
    <t>12</t>
  </si>
  <si>
    <t>13</t>
  </si>
  <si>
    <t>14</t>
  </si>
  <si>
    <t>16</t>
  </si>
  <si>
    <t>17</t>
  </si>
  <si>
    <t>21</t>
  </si>
  <si>
    <t>22</t>
  </si>
  <si>
    <t>24</t>
  </si>
  <si>
    <t>31</t>
  </si>
  <si>
    <t>32</t>
  </si>
  <si>
    <t>51</t>
  </si>
  <si>
    <t>52</t>
  </si>
  <si>
    <t>61</t>
  </si>
  <si>
    <t>62</t>
  </si>
  <si>
    <t>71</t>
  </si>
  <si>
    <t>72</t>
  </si>
  <si>
    <t>81</t>
  </si>
  <si>
    <t>89</t>
  </si>
  <si>
    <t>91</t>
  </si>
  <si>
    <t>99</t>
  </si>
  <si>
    <t>Otros</t>
  </si>
  <si>
    <t>Saldo Total</t>
  </si>
  <si>
    <t>Saldo Irregularidad</t>
  </si>
  <si>
    <t>Chequeo</t>
  </si>
  <si>
    <t>Sector_1_dígito</t>
  </si>
  <si>
    <t>id</t>
  </si>
  <si>
    <t>Nombre</t>
  </si>
  <si>
    <t>Nombre_ok</t>
  </si>
  <si>
    <t xml:space="preserve"> Producción de semillas y de otras formas de propagación de cultivos agrícolas</t>
  </si>
  <si>
    <t xml:space="preserve"> Cría de animales</t>
  </si>
  <si>
    <t xml:space="preserve"> Servicios de apoyo agrícolas y pecuarios</t>
  </si>
  <si>
    <t xml:space="preserve"> Caza, repoblación  de animales de caza y servicios de apoyo</t>
  </si>
  <si>
    <t xml:space="preserve"> Extracción de productos forestales</t>
  </si>
  <si>
    <t xml:space="preserve"> Explotación de criaderos de peces, granjas piscícolas y otros frutos acuáticos (acuicultura)</t>
  </si>
  <si>
    <t xml:space="preserve"> Extracción y aglomeración de carbón </t>
  </si>
  <si>
    <t xml:space="preserve"> Extracción y aglomeración de lignito</t>
  </si>
  <si>
    <t xml:space="preserve"> Extracción de petróleo crudo</t>
  </si>
  <si>
    <t xml:space="preserve"> Extracción de gas natural</t>
  </si>
  <si>
    <t xml:space="preserve"> Extracción de minerales de hierro</t>
  </si>
  <si>
    <t xml:space="preserve"> Extracción de minerales metalíferos no ferrosos</t>
  </si>
  <si>
    <t xml:space="preserve"> Extracción de piedra, arena y arcillas</t>
  </si>
  <si>
    <t xml:space="preserve"> Explotación de minas y canteras ncp</t>
  </si>
  <si>
    <t xml:space="preserve"> Servicios de apoyo para la extracción de petróleo y gas natural</t>
  </si>
  <si>
    <t xml:space="preserve"> Servicios de apoyo para la minería, excepto para la extracción de petróleo  y gas natural</t>
  </si>
  <si>
    <t xml:space="preserve"> Reparación y mantenimiento de máquinas y equipo</t>
  </si>
  <si>
    <t xml:space="preserve"> Instalación de maquinaria y equipos industriales</t>
  </si>
  <si>
    <t xml:space="preserve"> Generación, transporte y distribución de energía eléctrica</t>
  </si>
  <si>
    <t xml:space="preserve"> Fabricación y distribución de gas  y de combustibles gaseosos por tuberías</t>
  </si>
  <si>
    <t xml:space="preserve"> Captación, depuración y distribución de agua</t>
  </si>
  <si>
    <t xml:space="preserve"> Servicios de depuración de aguas residuales, alcantarillado y cloacas</t>
  </si>
  <si>
    <t xml:space="preserve"> Recolección, transporte, tratamiento y disposición final de residuos</t>
  </si>
  <si>
    <t xml:space="preserve"> Recuperación de materiales y deshechos</t>
  </si>
  <si>
    <t xml:space="preserve"> Descontaminación y otros servicios de gestión de residuos</t>
  </si>
  <si>
    <t xml:space="preserve"> Construcción de edificios y sus partes </t>
  </si>
  <si>
    <t xml:space="preserve"> Construcción, reforma y reparación de obras de infraestructura para el transporte </t>
  </si>
  <si>
    <t xml:space="preserve"> Construcción de proyectos de servicios públicos</t>
  </si>
  <si>
    <t xml:space="preserve"> Obras de ingeniería civil ncp</t>
  </si>
  <si>
    <t xml:space="preserve"> Demolición, movimiento y preparación de terrenos para obras</t>
  </si>
  <si>
    <t xml:space="preserve"> Instalaciones para edificios y obras de ingeniería civil</t>
  </si>
  <si>
    <t xml:space="preserve"> Terminación de edificios </t>
  </si>
  <si>
    <t xml:space="preserve"> Alquiler de equipo de construcción o demolición dotado de operarios y actividades especializadas de construcción ncp</t>
  </si>
  <si>
    <t xml:space="preserve"> Venta de vehículos automotores, excepto motocicletas</t>
  </si>
  <si>
    <t xml:space="preserve"> Mantenimiento y reparación de vehículos automotores, excepto motocicletas</t>
  </si>
  <si>
    <t xml:space="preserve"> Venta de partes, piezas y accesorios de vehículos automotores</t>
  </si>
  <si>
    <t xml:space="preserve"> Venta, mantenimiento y reparación de motocicletas y de sus partes, piezas y accesorios</t>
  </si>
  <si>
    <t>Venta al por mayor en comisión o consignación</t>
  </si>
  <si>
    <t>Venta al por mayor de artículos de uso doméstico y/o personal</t>
  </si>
  <si>
    <t>Venta al por mayor de máquinas, equipo y materiales conexos</t>
  </si>
  <si>
    <t>Venta al por mayor de mercancías ncp</t>
  </si>
  <si>
    <t>Venta al por menor de combustible para vehículos automotores y motocicletas</t>
  </si>
  <si>
    <t>Venta al por menor de equipos, periféricos,  accesorios y programas informáticos</t>
  </si>
  <si>
    <t>Venta al por menor de equipos de uso doméstico ncp en comercios especializados</t>
  </si>
  <si>
    <t>Venta al por menor en puestos móviles y mercados</t>
  </si>
  <si>
    <t>Servicio de transporte por tuberías</t>
  </si>
  <si>
    <t>Servicio de transporte marítimo</t>
  </si>
  <si>
    <t>Servicio de transporte aéreo de pasajeros</t>
  </si>
  <si>
    <t>Servicio de transporte aéreo de cargas</t>
  </si>
  <si>
    <t xml:space="preserve">Servicios de manipulación de cargas </t>
  </si>
  <si>
    <t>Servicios de almacenamiento y depósito</t>
  </si>
  <si>
    <t xml:space="preserve">Servicios de gestión y logística para el transporte de mercaderías </t>
  </si>
  <si>
    <t>Servicios de correos y mensajerías</t>
  </si>
  <si>
    <t xml:space="preserve"> Servicios de preparación de comidas para empresas y  servicios de comidas ncp</t>
  </si>
  <si>
    <t xml:space="preserve"> Edición</t>
  </si>
  <si>
    <t xml:space="preserve"> Servicios de cinematografía</t>
  </si>
  <si>
    <t xml:space="preserve"> Servicios de grabación de sonido y edición de música</t>
  </si>
  <si>
    <t xml:space="preserve"> Emisión y retransmisión de radio</t>
  </si>
  <si>
    <t xml:space="preserve"> Servicios de televisión</t>
  </si>
  <si>
    <t xml:space="preserve"> Servicios de telefonía fija</t>
  </si>
  <si>
    <t xml:space="preserve"> Servicios de telefonía móvil</t>
  </si>
  <si>
    <t xml:space="preserve"> Servicios de telecomunicaciones vía satélite, excepto servicios de transmisión de televisión</t>
  </si>
  <si>
    <t xml:space="preserve"> Servicios de telecomunicación vía internet</t>
  </si>
  <si>
    <t xml:space="preserve"> Servicios de programación y consultoría informática y actividades conexas</t>
  </si>
  <si>
    <t xml:space="preserve"> Servicios de agencias de noticias y servicios de información ncp</t>
  </si>
  <si>
    <t xml:space="preserve"> Intermediación monetaria </t>
  </si>
  <si>
    <t xml:space="preserve"> Fondos y sociedades de inversión y entidades financieras similares</t>
  </si>
  <si>
    <t xml:space="preserve"> Administración de fondos de pensiones</t>
  </si>
  <si>
    <t xml:space="preserve"> Servicios de gestión de fondos a cambio de una retribución o por contrata</t>
  </si>
  <si>
    <t xml:space="preserve"> Servicios inmobiliarios realizados a cambio de una retribución o por contrata</t>
  </si>
  <si>
    <t xml:space="preserve"> Servicios jurídicos</t>
  </si>
  <si>
    <t xml:space="preserve"> Servicios de contabilidad, auditoría y asesoría fiscal</t>
  </si>
  <si>
    <t xml:space="preserve"> Servicios de asesoramiento, dirección y gestión empresarial </t>
  </si>
  <si>
    <t xml:space="preserve"> Servicios de arquitectura e ingeniería y servicios técnicos ncp</t>
  </si>
  <si>
    <t xml:space="preserve"> Ensayos y análisis técnicos</t>
  </si>
  <si>
    <t xml:space="preserve"> Investigación y desarrollo experimental en el campo de la ingeniería y de las ciencias exactas y naturales</t>
  </si>
  <si>
    <t xml:space="preserve"> Investigación  y desarrollo experimental en el campo de las ciencias sociales y las humanidades</t>
  </si>
  <si>
    <t xml:space="preserve"> Estudio de mercado, realización de encuestas de opinión pública</t>
  </si>
  <si>
    <t xml:space="preserve"> Servicios de diseño especializado</t>
  </si>
  <si>
    <t xml:space="preserve"> Servicios de fotografía </t>
  </si>
  <si>
    <t xml:space="preserve"> Actividades profesionales, científicas y técnicas ncp</t>
  </si>
  <si>
    <t xml:space="preserve"> Alquiler de vehículos automotores y equipo de transporte sin conductor ni operarios</t>
  </si>
  <si>
    <t xml:space="preserve"> Alquiler de efectos personales y enseres domésticos </t>
  </si>
  <si>
    <t xml:space="preserve"> Arrendamiento y gestión de bienes intangibles no financieros</t>
  </si>
  <si>
    <t xml:space="preserve"> Obtención y dotación de personal</t>
  </si>
  <si>
    <t xml:space="preserve"> Servicios de agencias de viaje y otras actividades complementarias de apoyo turístico</t>
  </si>
  <si>
    <t xml:space="preserve"> Servicios de seguridad e investigación</t>
  </si>
  <si>
    <t xml:space="preserve"> Servicios de jardinería y mantenimiento de espacios verdes</t>
  </si>
  <si>
    <t xml:space="preserve"> Servicios de apoyo a la administración de oficinas y empresas</t>
  </si>
  <si>
    <t xml:space="preserve"> Servicios de organización de convenciones y exposiciones comerciales, excepto culturales y deportivos</t>
  </si>
  <si>
    <t xml:space="preserve"> Servicios de la Administración Pública</t>
  </si>
  <si>
    <t xml:space="preserve"> Prestación pública de servicios a la comunidad en general</t>
  </si>
  <si>
    <t xml:space="preserve"> Enseñanza inicial y primaria</t>
  </si>
  <si>
    <t xml:space="preserve"> Enseñanza secundaria</t>
  </si>
  <si>
    <t xml:space="preserve"> Enseñanza superior y formación de posgrado</t>
  </si>
  <si>
    <t xml:space="preserve"> Servicios de enseñanza ncp</t>
  </si>
  <si>
    <t xml:space="preserve"> Servicios de apoyo a la educación</t>
  </si>
  <si>
    <t xml:space="preserve"> Servicios de atención ambulatoria realizados por médicos y odontólogos</t>
  </si>
  <si>
    <t xml:space="preserve"> Servicios de prácticas de diagnóstico y tratamiento</t>
  </si>
  <si>
    <t xml:space="preserve"> Servicios artísticos y de espectáculos</t>
  </si>
  <si>
    <t xml:space="preserve"> Servicios para la práctica deportiva </t>
  </si>
  <si>
    <t xml:space="preserve"> Reparación y mantenimiento de equipos informáticos y equipos de comunicación</t>
  </si>
  <si>
    <t xml:space="preserve"> Reparación de efectos personales y enseres domésticos</t>
  </si>
  <si>
    <t>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</si>
</sst>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Montserrat"/>
    </font>
    <font>
      <sz val="9"/>
      <color theme="1"/>
      <name val="Montserrat"/>
    </font>
    <font>
      <b/>
      <sz val="9"/>
      <color theme="1"/>
      <name val="Montserrat"/>
    </font>
    <font>
      <b/>
      <sz val="10"/>
      <color theme="0"/>
      <name val="Montserrat"/>
    </font>
    <font>
      <sz val="10"/>
      <name val="Montserra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16" fillId="0" borderId="0" xfId="0" applyFont="1"/>
    <xf numFmtId="0" fontId="16" fillId="33" borderId="0" xfId="0" applyFont="1" applyFill="1" applyAlignment="1">
      <alignment horizontal="center"/>
    </xf>
    <xf numFmtId="164" fontId="16" fillId="33" borderId="0" xfId="42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42" applyNumberFormat="1" applyFont="1" applyFill="1" applyAlignment="1">
      <alignment horizontal="center"/>
    </xf>
    <xf numFmtId="3" fontId="0" fillId="33" borderId="0" xfId="0" applyNumberFormat="1" applyFill="1" applyAlignment="1">
      <alignment horizontal="center"/>
    </xf>
    <xf numFmtId="0" fontId="18" fillId="0" borderId="0" xfId="0" applyFont="1"/>
    <xf numFmtId="164" fontId="18" fillId="0" borderId="0" xfId="42" applyNumberFormat="1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34" borderId="0" xfId="0" applyFont="1" applyFill="1" applyAlignment="1">
      <alignment horizontal="center"/>
    </xf>
    <xf numFmtId="0" fontId="18" fillId="34" borderId="0" xfId="0" applyFont="1" applyFill="1" applyAlignment="1">
      <alignment horizontal="left"/>
    </xf>
    <xf numFmtId="0" fontId="18" fillId="34" borderId="0" xfId="0" applyFont="1" applyFill="1"/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42" applyNumberFormat="1" applyFont="1" applyAlignment="1">
      <alignment horizontal="center" vertical="center" wrapText="1"/>
    </xf>
    <xf numFmtId="0" fontId="19" fillId="0" borderId="0" xfId="0" applyFont="1"/>
    <xf numFmtId="164" fontId="19" fillId="0" borderId="0" xfId="42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164" fontId="20" fillId="0" borderId="0" xfId="42" applyNumberFormat="1" applyFont="1" applyAlignment="1">
      <alignment horizontal="center" vertical="center" wrapText="1"/>
    </xf>
    <xf numFmtId="165" fontId="20" fillId="0" borderId="0" xfId="0" applyNumberFormat="1" applyFont="1" applyAlignment="1">
      <alignment horizontal="center"/>
    </xf>
    <xf numFmtId="164" fontId="18" fillId="0" borderId="0" xfId="42" applyNumberFormat="1" applyFont="1"/>
    <xf numFmtId="164" fontId="19" fillId="0" borderId="0" xfId="42" applyNumberFormat="1" applyFont="1"/>
    <xf numFmtId="164" fontId="19" fillId="0" borderId="0" xfId="0" applyNumberFormat="1" applyFont="1"/>
    <xf numFmtId="0" fontId="21" fillId="35" borderId="0" xfId="0" applyFont="1" applyFill="1" applyAlignment="1">
      <alignment horizontal="center"/>
    </xf>
    <xf numFmtId="0" fontId="22" fillId="34" borderId="10" xfId="0" applyFont="1" applyFill="1" applyBorder="1" applyAlignment="1">
      <alignment horizontal="left" vertical="top" wrapText="1"/>
    </xf>
    <xf numFmtId="0" fontId="18" fillId="34" borderId="11" xfId="0" applyFont="1" applyFill="1" applyBorder="1" applyAlignment="1">
      <alignment horizontal="left" vertical="center"/>
    </xf>
    <xf numFmtId="0" fontId="18" fillId="34" borderId="11" xfId="0" quotePrefix="1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2" fontId="18" fillId="0" borderId="0" xfId="0" applyNumberFormat="1" applyFont="1"/>
    <xf numFmtId="3" fontId="18" fillId="34" borderId="0" xfId="0" applyNumberFormat="1" applyFont="1" applyFill="1" applyAlignment="1">
      <alignment horizontal="center"/>
    </xf>
    <xf numFmtId="164" fontId="18" fillId="34" borderId="0" xfId="42" applyNumberFormat="1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/>
    </xf>
    <xf numFmtId="164" fontId="19" fillId="0" borderId="0" xfId="42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3" fontId="20" fillId="0" borderId="0" xfId="0" applyNumberFormat="1" applyFont="1" applyAlignment="1">
      <alignment horizontal="center" vertical="center"/>
    </xf>
    <xf numFmtId="164" fontId="20" fillId="0" borderId="0" xfId="42" applyNumberFormat="1" applyFont="1" applyAlignment="1">
      <alignment horizontal="center" vertical="center"/>
    </xf>
    <xf numFmtId="0" fontId="20" fillId="36" borderId="0" xfId="0" applyFont="1" applyFill="1" applyAlignment="1">
      <alignment horizontal="left" vertical="center"/>
    </xf>
    <xf numFmtId="3" fontId="20" fillId="36" borderId="0" xfId="0" applyNumberFormat="1" applyFont="1" applyFill="1" applyAlignment="1">
      <alignment horizontal="center" vertical="center"/>
    </xf>
    <xf numFmtId="164" fontId="20" fillId="36" borderId="0" xfId="42" applyNumberFormat="1" applyFont="1" applyFill="1" applyAlignment="1">
      <alignment horizontal="center" vertical="center"/>
    </xf>
    <xf numFmtId="0" fontId="19" fillId="36" borderId="0" xfId="0" applyFont="1" applyFill="1" applyAlignment="1">
      <alignment horizontal="left" vertical="center"/>
    </xf>
    <xf numFmtId="3" fontId="19" fillId="36" borderId="0" xfId="0" applyNumberFormat="1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 wrapText="1"/>
    </xf>
    <xf numFmtId="164" fontId="21" fillId="35" borderId="0" xfId="42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0" fillId="0" borderId="12" xfId="0" applyFont="1" applyBorder="1" applyAlignment="1">
      <alignment horizontal="left" vertical="center"/>
    </xf>
    <xf numFmtId="3" fontId="20" fillId="0" borderId="12" xfId="0" applyNumberFormat="1" applyFont="1" applyBorder="1" applyAlignment="1">
      <alignment horizontal="center" vertical="center"/>
    </xf>
    <xf numFmtId="164" fontId="20" fillId="0" borderId="12" xfId="42" applyNumberFormat="1" applyFont="1" applyBorder="1" applyAlignment="1">
      <alignment horizontal="center" vertical="center"/>
    </xf>
    <xf numFmtId="9" fontId="16" fillId="0" borderId="0" xfId="42" applyFont="1" applyAlignment="1">
      <alignment horizontal="center"/>
    </xf>
    <xf numFmtId="9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4198-A6F5-4182-B99C-26D973DE79A7}">
  <sheetPr>
    <tabColor rgb="FFFFFF00"/>
  </sheetPr>
  <dimension ref="A1:F227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baseColWidth="10" defaultRowHeight="14.5" x14ac:dyDescent="0.35"/>
  <cols>
    <col min="1" max="1" width="54.7265625" bestFit="1" customWidth="1"/>
    <col min="2" max="2" width="9.54296875" customWidth="1"/>
    <col min="4" max="4" width="20.1796875" bestFit="1" customWidth="1"/>
    <col min="5" max="5" width="23.453125" bestFit="1" customWidth="1"/>
    <col min="6" max="6" width="11.08984375" style="54" customWidth="1"/>
  </cols>
  <sheetData>
    <row r="1" spans="1:6" s="49" customFormat="1" x14ac:dyDescent="0.35">
      <c r="A1" s="49" t="s">
        <v>778</v>
      </c>
      <c r="B1" s="49" t="s">
        <v>779</v>
      </c>
      <c r="C1" s="49" t="s">
        <v>780</v>
      </c>
      <c r="D1" s="49" t="s">
        <v>294</v>
      </c>
      <c r="E1" s="49" t="s">
        <v>295</v>
      </c>
      <c r="F1" s="53" t="s">
        <v>70</v>
      </c>
    </row>
    <row r="2" spans="1:6" x14ac:dyDescent="0.35">
      <c r="A2" t="s">
        <v>774</v>
      </c>
      <c r="B2">
        <v>0</v>
      </c>
      <c r="C2" t="s">
        <v>296</v>
      </c>
      <c r="D2">
        <v>63116287592</v>
      </c>
      <c r="E2">
        <v>6959703931</v>
      </c>
      <c r="F2" s="54">
        <f>E2/D2</f>
        <v>0.11026795454113723</v>
      </c>
    </row>
    <row r="3" spans="1:6" x14ac:dyDescent="0.35">
      <c r="A3" t="s">
        <v>303</v>
      </c>
      <c r="B3">
        <v>11</v>
      </c>
      <c r="C3" t="s">
        <v>74</v>
      </c>
      <c r="D3">
        <v>6371444007</v>
      </c>
      <c r="E3">
        <v>170218901</v>
      </c>
      <c r="F3" s="54">
        <f t="shared" ref="F3:F66" si="0">E3/D3</f>
        <v>2.6715906286391068E-2</v>
      </c>
    </row>
    <row r="4" spans="1:6" x14ac:dyDescent="0.35">
      <c r="A4" t="s">
        <v>303</v>
      </c>
      <c r="B4">
        <v>12</v>
      </c>
      <c r="C4" t="s">
        <v>76</v>
      </c>
      <c r="D4">
        <v>614846765</v>
      </c>
      <c r="E4">
        <v>20850754</v>
      </c>
      <c r="F4" s="54">
        <f t="shared" si="0"/>
        <v>3.3912114671368565E-2</v>
      </c>
    </row>
    <row r="5" spans="1:6" x14ac:dyDescent="0.35">
      <c r="A5" t="s">
        <v>303</v>
      </c>
      <c r="B5">
        <v>13</v>
      </c>
      <c r="C5" t="s">
        <v>782</v>
      </c>
      <c r="D5">
        <v>610383932</v>
      </c>
      <c r="E5">
        <v>9400985</v>
      </c>
      <c r="F5" s="54">
        <f t="shared" si="0"/>
        <v>1.5401757004311182E-2</v>
      </c>
    </row>
    <row r="6" spans="1:6" x14ac:dyDescent="0.35">
      <c r="A6" t="s">
        <v>303</v>
      </c>
      <c r="B6">
        <v>14</v>
      </c>
      <c r="C6" t="s">
        <v>783</v>
      </c>
      <c r="D6">
        <v>2749446461</v>
      </c>
      <c r="E6">
        <v>69794707</v>
      </c>
      <c r="F6" s="54">
        <f t="shared" si="0"/>
        <v>2.5385003123361418E-2</v>
      </c>
    </row>
    <row r="7" spans="1:6" x14ac:dyDescent="0.35">
      <c r="A7" t="s">
        <v>303</v>
      </c>
      <c r="B7">
        <v>16</v>
      </c>
      <c r="C7" t="s">
        <v>784</v>
      </c>
      <c r="D7">
        <v>1165449821</v>
      </c>
      <c r="E7">
        <v>60071354</v>
      </c>
      <c r="F7" s="54">
        <f t="shared" si="0"/>
        <v>5.1543492407469339E-2</v>
      </c>
    </row>
    <row r="8" spans="1:6" x14ac:dyDescent="0.35">
      <c r="A8" t="s">
        <v>303</v>
      </c>
      <c r="B8">
        <v>17</v>
      </c>
      <c r="C8" t="s">
        <v>785</v>
      </c>
      <c r="D8">
        <v>3678420</v>
      </c>
      <c r="E8">
        <v>25830</v>
      </c>
      <c r="F8" s="54">
        <f t="shared" si="0"/>
        <v>7.0220366352945016E-3</v>
      </c>
    </row>
    <row r="9" spans="1:6" x14ac:dyDescent="0.35">
      <c r="A9" t="s">
        <v>303</v>
      </c>
      <c r="B9">
        <v>21</v>
      </c>
      <c r="C9" t="s">
        <v>80</v>
      </c>
      <c r="D9">
        <v>4208637</v>
      </c>
      <c r="E9">
        <v>314580</v>
      </c>
      <c r="F9" s="54">
        <f t="shared" si="0"/>
        <v>7.4746289594469661E-2</v>
      </c>
    </row>
    <row r="10" spans="1:6" x14ac:dyDescent="0.35">
      <c r="A10" t="s">
        <v>303</v>
      </c>
      <c r="B10">
        <v>22</v>
      </c>
      <c r="C10" t="s">
        <v>786</v>
      </c>
      <c r="D10">
        <v>35427340</v>
      </c>
      <c r="E10">
        <v>4393447</v>
      </c>
      <c r="F10" s="54">
        <f t="shared" si="0"/>
        <v>0.12401289512562896</v>
      </c>
    </row>
    <row r="11" spans="1:6" x14ac:dyDescent="0.35">
      <c r="A11" t="s">
        <v>303</v>
      </c>
      <c r="B11">
        <v>24</v>
      </c>
      <c r="C11" t="s">
        <v>79</v>
      </c>
      <c r="D11">
        <v>11819269</v>
      </c>
      <c r="E11">
        <v>89795</v>
      </c>
      <c r="F11" s="54">
        <f t="shared" si="0"/>
        <v>7.5973395647395787E-3</v>
      </c>
    </row>
    <row r="12" spans="1:6" x14ac:dyDescent="0.35">
      <c r="A12" t="s">
        <v>313</v>
      </c>
      <c r="B12">
        <v>31</v>
      </c>
      <c r="C12" t="s">
        <v>82</v>
      </c>
      <c r="D12">
        <v>91202133</v>
      </c>
      <c r="E12">
        <v>4130327</v>
      </c>
      <c r="F12" s="54">
        <f t="shared" si="0"/>
        <v>4.5287614051745917E-2</v>
      </c>
    </row>
    <row r="13" spans="1:6" x14ac:dyDescent="0.35">
      <c r="A13" t="s">
        <v>313</v>
      </c>
      <c r="B13">
        <v>32</v>
      </c>
      <c r="C13" t="s">
        <v>787</v>
      </c>
      <c r="D13">
        <v>10738332</v>
      </c>
      <c r="E13">
        <v>367750</v>
      </c>
      <c r="F13" s="54">
        <f t="shared" si="0"/>
        <v>3.4246473288402704E-2</v>
      </c>
    </row>
    <row r="14" spans="1:6" x14ac:dyDescent="0.35">
      <c r="A14" t="s">
        <v>316</v>
      </c>
      <c r="B14">
        <v>51</v>
      </c>
      <c r="C14" t="s">
        <v>788</v>
      </c>
      <c r="D14">
        <v>804004</v>
      </c>
      <c r="E14">
        <v>3456</v>
      </c>
      <c r="F14" s="54">
        <f t="shared" si="0"/>
        <v>4.2984860771836959E-3</v>
      </c>
    </row>
    <row r="15" spans="1:6" x14ac:dyDescent="0.35">
      <c r="A15" t="s">
        <v>316</v>
      </c>
      <c r="B15">
        <v>52</v>
      </c>
      <c r="C15" t="s">
        <v>789</v>
      </c>
      <c r="D15">
        <v>85729</v>
      </c>
      <c r="E15">
        <v>3451</v>
      </c>
      <c r="F15" s="54">
        <f t="shared" si="0"/>
        <v>4.0254756266840858E-2</v>
      </c>
    </row>
    <row r="16" spans="1:6" x14ac:dyDescent="0.35">
      <c r="A16" t="s">
        <v>316</v>
      </c>
      <c r="B16">
        <v>61</v>
      </c>
      <c r="C16" t="s">
        <v>790</v>
      </c>
      <c r="D16">
        <v>4535009645</v>
      </c>
      <c r="E16">
        <v>14864049</v>
      </c>
      <c r="F16" s="54">
        <f t="shared" si="0"/>
        <v>3.2776223566333782E-3</v>
      </c>
    </row>
    <row r="17" spans="1:6" x14ac:dyDescent="0.35">
      <c r="A17" t="s">
        <v>316</v>
      </c>
      <c r="B17">
        <v>62</v>
      </c>
      <c r="C17" t="s">
        <v>791</v>
      </c>
      <c r="D17">
        <v>1433046</v>
      </c>
      <c r="E17">
        <v>40789</v>
      </c>
      <c r="F17" s="54">
        <f t="shared" si="0"/>
        <v>2.8463147728684215E-2</v>
      </c>
    </row>
    <row r="18" spans="1:6" x14ac:dyDescent="0.35">
      <c r="A18" t="s">
        <v>316</v>
      </c>
      <c r="B18">
        <v>71</v>
      </c>
      <c r="C18" t="s">
        <v>792</v>
      </c>
      <c r="D18">
        <v>3779514</v>
      </c>
      <c r="E18">
        <v>175779</v>
      </c>
      <c r="F18" s="54">
        <f t="shared" si="0"/>
        <v>4.650836059874365E-2</v>
      </c>
    </row>
    <row r="19" spans="1:6" x14ac:dyDescent="0.35">
      <c r="A19" t="s">
        <v>316</v>
      </c>
      <c r="B19">
        <v>72</v>
      </c>
      <c r="C19" t="s">
        <v>793</v>
      </c>
      <c r="D19">
        <v>237905491</v>
      </c>
      <c r="E19">
        <v>564677</v>
      </c>
      <c r="F19" s="54">
        <f t="shared" si="0"/>
        <v>2.3735349597290294E-3</v>
      </c>
    </row>
    <row r="20" spans="1:6" x14ac:dyDescent="0.35">
      <c r="A20" t="s">
        <v>316</v>
      </c>
      <c r="B20">
        <v>81</v>
      </c>
      <c r="C20" t="s">
        <v>794</v>
      </c>
      <c r="D20">
        <v>108455132</v>
      </c>
      <c r="E20">
        <v>976226</v>
      </c>
      <c r="F20" s="54">
        <f t="shared" si="0"/>
        <v>9.0011969189249617E-3</v>
      </c>
    </row>
    <row r="21" spans="1:6" x14ac:dyDescent="0.35">
      <c r="A21" t="s">
        <v>316</v>
      </c>
      <c r="B21">
        <v>89</v>
      </c>
      <c r="C21" t="s">
        <v>795</v>
      </c>
      <c r="D21">
        <v>85166309</v>
      </c>
      <c r="E21">
        <v>152892</v>
      </c>
      <c r="F21" s="54">
        <f t="shared" si="0"/>
        <v>1.7952169325548674E-3</v>
      </c>
    </row>
    <row r="22" spans="1:6" x14ac:dyDescent="0.35">
      <c r="A22" t="s">
        <v>316</v>
      </c>
      <c r="B22">
        <v>91</v>
      </c>
      <c r="C22" t="s">
        <v>796</v>
      </c>
      <c r="D22">
        <v>473488459</v>
      </c>
      <c r="E22">
        <v>1164438</v>
      </c>
      <c r="F22" s="54">
        <f t="shared" si="0"/>
        <v>2.4592743030300555E-3</v>
      </c>
    </row>
    <row r="23" spans="1:6" x14ac:dyDescent="0.35">
      <c r="A23" t="s">
        <v>316</v>
      </c>
      <c r="B23">
        <v>99</v>
      </c>
      <c r="C23" t="s">
        <v>797</v>
      </c>
      <c r="D23">
        <v>40573548</v>
      </c>
      <c r="E23">
        <v>2535999</v>
      </c>
      <c r="F23" s="54">
        <f t="shared" si="0"/>
        <v>6.2503752444819469E-2</v>
      </c>
    </row>
    <row r="24" spans="1:6" x14ac:dyDescent="0.35">
      <c r="A24" t="s">
        <v>327</v>
      </c>
      <c r="B24">
        <v>101</v>
      </c>
      <c r="C24" t="s">
        <v>0</v>
      </c>
      <c r="D24">
        <v>2898265826</v>
      </c>
      <c r="E24">
        <v>64587255</v>
      </c>
      <c r="F24" s="54">
        <f t="shared" si="0"/>
        <v>2.2284793348006718E-2</v>
      </c>
    </row>
    <row r="25" spans="1:6" x14ac:dyDescent="0.35">
      <c r="A25" t="s">
        <v>327</v>
      </c>
      <c r="B25">
        <v>102</v>
      </c>
      <c r="C25" t="s">
        <v>2</v>
      </c>
      <c r="D25">
        <v>113009710</v>
      </c>
      <c r="E25">
        <v>13012538</v>
      </c>
      <c r="F25" s="54">
        <f t="shared" si="0"/>
        <v>0.11514530919511252</v>
      </c>
    </row>
    <row r="26" spans="1:6" x14ac:dyDescent="0.35">
      <c r="A26" t="s">
        <v>327</v>
      </c>
      <c r="B26">
        <v>103</v>
      </c>
      <c r="C26" t="s">
        <v>4</v>
      </c>
      <c r="D26">
        <v>531783040</v>
      </c>
      <c r="E26">
        <v>762272</v>
      </c>
      <c r="F26" s="54">
        <f t="shared" si="0"/>
        <v>1.4334266846870484E-3</v>
      </c>
    </row>
    <row r="27" spans="1:6" x14ac:dyDescent="0.35">
      <c r="A27" t="s">
        <v>327</v>
      </c>
      <c r="B27">
        <v>104</v>
      </c>
      <c r="C27" t="s">
        <v>6</v>
      </c>
      <c r="D27">
        <v>737628041</v>
      </c>
      <c r="E27">
        <v>15529989</v>
      </c>
      <c r="F27" s="54">
        <f t="shared" si="0"/>
        <v>2.1053956922442975E-2</v>
      </c>
    </row>
    <row r="28" spans="1:6" x14ac:dyDescent="0.35">
      <c r="A28" t="s">
        <v>327</v>
      </c>
      <c r="B28">
        <v>105</v>
      </c>
      <c r="C28" t="s">
        <v>8</v>
      </c>
      <c r="D28">
        <v>558833881</v>
      </c>
      <c r="E28">
        <v>8141839</v>
      </c>
      <c r="F28" s="54">
        <f t="shared" si="0"/>
        <v>1.4569336750718592E-2</v>
      </c>
    </row>
    <row r="29" spans="1:6" x14ac:dyDescent="0.35">
      <c r="A29" t="s">
        <v>327</v>
      </c>
      <c r="B29">
        <v>106</v>
      </c>
      <c r="C29" t="s">
        <v>10</v>
      </c>
      <c r="D29">
        <v>439690264</v>
      </c>
      <c r="E29">
        <v>115940991</v>
      </c>
      <c r="F29" s="54">
        <f t="shared" si="0"/>
        <v>0.26368787415315614</v>
      </c>
    </row>
    <row r="30" spans="1:6" x14ac:dyDescent="0.35">
      <c r="A30" t="s">
        <v>327</v>
      </c>
      <c r="B30">
        <v>107</v>
      </c>
      <c r="C30" t="s">
        <v>12</v>
      </c>
      <c r="D30">
        <v>1679981503</v>
      </c>
      <c r="E30">
        <v>17926750</v>
      </c>
      <c r="F30" s="54">
        <f t="shared" si="0"/>
        <v>1.0670802010609994E-2</v>
      </c>
    </row>
    <row r="31" spans="1:6" x14ac:dyDescent="0.35">
      <c r="A31" t="s">
        <v>327</v>
      </c>
      <c r="B31">
        <v>108</v>
      </c>
      <c r="C31" t="s">
        <v>14</v>
      </c>
      <c r="D31">
        <v>164970776</v>
      </c>
      <c r="E31">
        <v>12485335</v>
      </c>
      <c r="F31" s="54">
        <f t="shared" si="0"/>
        <v>7.5682101416556347E-2</v>
      </c>
    </row>
    <row r="32" spans="1:6" x14ac:dyDescent="0.35">
      <c r="A32" t="s">
        <v>327</v>
      </c>
      <c r="B32">
        <v>109</v>
      </c>
      <c r="C32" t="s">
        <v>15</v>
      </c>
      <c r="D32">
        <v>3491345</v>
      </c>
      <c r="E32">
        <v>104630</v>
      </c>
      <c r="F32" s="54">
        <f t="shared" si="0"/>
        <v>2.9968393269642502E-2</v>
      </c>
    </row>
    <row r="33" spans="1:6" x14ac:dyDescent="0.35">
      <c r="A33" t="s">
        <v>327</v>
      </c>
      <c r="B33">
        <v>110</v>
      </c>
      <c r="C33" t="s">
        <v>17</v>
      </c>
      <c r="D33">
        <v>823538551</v>
      </c>
      <c r="E33">
        <v>50567715</v>
      </c>
      <c r="F33" s="54">
        <f t="shared" si="0"/>
        <v>6.140297250031225E-2</v>
      </c>
    </row>
    <row r="34" spans="1:6" x14ac:dyDescent="0.35">
      <c r="A34" t="s">
        <v>338</v>
      </c>
      <c r="B34">
        <v>120</v>
      </c>
      <c r="C34" t="s">
        <v>19</v>
      </c>
      <c r="D34">
        <v>158569706</v>
      </c>
      <c r="E34">
        <v>697902</v>
      </c>
      <c r="F34" s="54">
        <f t="shared" si="0"/>
        <v>4.4012315946401516E-3</v>
      </c>
    </row>
    <row r="35" spans="1:6" x14ac:dyDescent="0.35">
      <c r="A35" t="s">
        <v>340</v>
      </c>
      <c r="B35">
        <v>131</v>
      </c>
      <c r="C35" t="s">
        <v>21</v>
      </c>
      <c r="D35">
        <v>270588005</v>
      </c>
      <c r="E35">
        <v>15277393</v>
      </c>
      <c r="F35" s="54">
        <f t="shared" si="0"/>
        <v>5.6459978704525356E-2</v>
      </c>
    </row>
    <row r="36" spans="1:6" x14ac:dyDescent="0.35">
      <c r="A36" t="s">
        <v>340</v>
      </c>
      <c r="B36">
        <v>139</v>
      </c>
      <c r="C36" t="s">
        <v>23</v>
      </c>
      <c r="D36">
        <v>216850528</v>
      </c>
      <c r="E36">
        <v>14345041</v>
      </c>
      <c r="F36" s="54">
        <f t="shared" si="0"/>
        <v>6.6151745777626142E-2</v>
      </c>
    </row>
    <row r="37" spans="1:6" x14ac:dyDescent="0.35">
      <c r="A37" t="s">
        <v>340</v>
      </c>
      <c r="B37">
        <v>141</v>
      </c>
      <c r="C37" t="s">
        <v>25</v>
      </c>
      <c r="D37">
        <v>235381387</v>
      </c>
      <c r="E37">
        <v>16820072</v>
      </c>
      <c r="F37" s="54">
        <f t="shared" si="0"/>
        <v>7.1458802305383651E-2</v>
      </c>
    </row>
    <row r="38" spans="1:6" x14ac:dyDescent="0.35">
      <c r="A38" t="s">
        <v>340</v>
      </c>
      <c r="B38">
        <v>142</v>
      </c>
      <c r="C38" t="s">
        <v>1</v>
      </c>
      <c r="D38">
        <v>129038</v>
      </c>
      <c r="E38">
        <v>0</v>
      </c>
      <c r="F38" s="54">
        <f t="shared" si="0"/>
        <v>0</v>
      </c>
    </row>
    <row r="39" spans="1:6" x14ac:dyDescent="0.35">
      <c r="A39" t="s">
        <v>340</v>
      </c>
      <c r="B39">
        <v>143</v>
      </c>
      <c r="C39" t="s">
        <v>28</v>
      </c>
      <c r="D39">
        <v>16015308</v>
      </c>
      <c r="E39">
        <v>935614</v>
      </c>
      <c r="F39" s="54">
        <f t="shared" si="0"/>
        <v>5.8419981682525247E-2</v>
      </c>
    </row>
    <row r="40" spans="1:6" x14ac:dyDescent="0.35">
      <c r="A40" t="s">
        <v>340</v>
      </c>
      <c r="B40">
        <v>149</v>
      </c>
      <c r="C40" t="s">
        <v>30</v>
      </c>
      <c r="D40">
        <v>2787748</v>
      </c>
      <c r="E40">
        <v>559136</v>
      </c>
      <c r="F40" s="54">
        <f t="shared" si="0"/>
        <v>0.2005690614790146</v>
      </c>
    </row>
    <row r="41" spans="1:6" x14ac:dyDescent="0.35">
      <c r="A41" t="s">
        <v>340</v>
      </c>
      <c r="B41">
        <v>151</v>
      </c>
      <c r="C41" t="s">
        <v>31</v>
      </c>
      <c r="D41">
        <v>106377644</v>
      </c>
      <c r="E41">
        <v>38893844</v>
      </c>
      <c r="F41" s="54">
        <f t="shared" si="0"/>
        <v>0.36562046815024407</v>
      </c>
    </row>
    <row r="42" spans="1:6" x14ac:dyDescent="0.35">
      <c r="A42" t="s">
        <v>340</v>
      </c>
      <c r="B42">
        <v>152</v>
      </c>
      <c r="C42" t="s">
        <v>33</v>
      </c>
      <c r="D42">
        <v>89178389</v>
      </c>
      <c r="E42">
        <v>6361670</v>
      </c>
      <c r="F42" s="54">
        <f t="shared" si="0"/>
        <v>7.1336453498840394E-2</v>
      </c>
    </row>
    <row r="43" spans="1:6" x14ac:dyDescent="0.35">
      <c r="A43" t="s">
        <v>349</v>
      </c>
      <c r="B43">
        <v>161</v>
      </c>
      <c r="C43" t="s">
        <v>35</v>
      </c>
      <c r="D43">
        <v>89243455</v>
      </c>
      <c r="E43">
        <v>1620280</v>
      </c>
      <c r="F43" s="54">
        <f t="shared" si="0"/>
        <v>1.8155729179243452E-2</v>
      </c>
    </row>
    <row r="44" spans="1:6" x14ac:dyDescent="0.35">
      <c r="A44" t="s">
        <v>349</v>
      </c>
      <c r="B44">
        <v>162</v>
      </c>
      <c r="C44" t="s">
        <v>37</v>
      </c>
      <c r="D44">
        <v>140538819</v>
      </c>
      <c r="E44">
        <v>7716001</v>
      </c>
      <c r="F44" s="54">
        <f t="shared" si="0"/>
        <v>5.490298733761239E-2</v>
      </c>
    </row>
    <row r="45" spans="1:6" x14ac:dyDescent="0.35">
      <c r="A45" t="s">
        <v>349</v>
      </c>
      <c r="B45">
        <v>170</v>
      </c>
      <c r="C45" t="s">
        <v>39</v>
      </c>
      <c r="D45">
        <v>365329486</v>
      </c>
      <c r="E45">
        <v>43206540</v>
      </c>
      <c r="F45" s="54">
        <f t="shared" si="0"/>
        <v>0.11826732211809479</v>
      </c>
    </row>
    <row r="46" spans="1:6" x14ac:dyDescent="0.35">
      <c r="A46" t="s">
        <v>353</v>
      </c>
      <c r="B46">
        <v>181</v>
      </c>
      <c r="C46" t="s">
        <v>41</v>
      </c>
      <c r="D46">
        <v>109822983</v>
      </c>
      <c r="E46">
        <v>10420598</v>
      </c>
      <c r="F46" s="54">
        <f t="shared" si="0"/>
        <v>9.4885402994380516E-2</v>
      </c>
    </row>
    <row r="47" spans="1:6" x14ac:dyDescent="0.35">
      <c r="A47" t="s">
        <v>353</v>
      </c>
      <c r="B47">
        <v>182</v>
      </c>
      <c r="C47" t="s">
        <v>34</v>
      </c>
      <c r="D47">
        <v>1908420</v>
      </c>
      <c r="E47">
        <v>10329</v>
      </c>
      <c r="F47" s="54">
        <f t="shared" si="0"/>
        <v>5.4123306190461216E-3</v>
      </c>
    </row>
    <row r="48" spans="1:6" x14ac:dyDescent="0.35">
      <c r="A48" t="s">
        <v>356</v>
      </c>
      <c r="B48">
        <v>191</v>
      </c>
      <c r="C48" t="s">
        <v>43</v>
      </c>
      <c r="D48">
        <v>28164302</v>
      </c>
      <c r="E48">
        <v>2450887</v>
      </c>
      <c r="F48" s="54">
        <f t="shared" si="0"/>
        <v>8.7021045293435642E-2</v>
      </c>
    </row>
    <row r="49" spans="1:6" x14ac:dyDescent="0.35">
      <c r="A49" t="s">
        <v>356</v>
      </c>
      <c r="B49">
        <v>192</v>
      </c>
      <c r="C49" t="s">
        <v>45</v>
      </c>
      <c r="D49">
        <v>2641035912</v>
      </c>
      <c r="E49">
        <v>34912581</v>
      </c>
      <c r="F49" s="54">
        <f t="shared" si="0"/>
        <v>1.3219275376517485E-2</v>
      </c>
    </row>
    <row r="50" spans="1:6" x14ac:dyDescent="0.35">
      <c r="A50" t="s">
        <v>359</v>
      </c>
      <c r="B50">
        <v>201</v>
      </c>
      <c r="C50" t="s">
        <v>47</v>
      </c>
      <c r="D50">
        <v>908216901</v>
      </c>
      <c r="E50">
        <v>18650123</v>
      </c>
      <c r="F50" s="54">
        <f t="shared" si="0"/>
        <v>2.0534877714194839E-2</v>
      </c>
    </row>
    <row r="51" spans="1:6" x14ac:dyDescent="0.35">
      <c r="A51" t="s">
        <v>359</v>
      </c>
      <c r="B51">
        <v>202</v>
      </c>
      <c r="C51" t="s">
        <v>49</v>
      </c>
      <c r="D51">
        <v>1211326450</v>
      </c>
      <c r="E51">
        <v>65656314</v>
      </c>
      <c r="F51" s="54">
        <f t="shared" si="0"/>
        <v>5.4201998148393438E-2</v>
      </c>
    </row>
    <row r="52" spans="1:6" x14ac:dyDescent="0.35">
      <c r="A52" t="s">
        <v>359</v>
      </c>
      <c r="B52">
        <v>203</v>
      </c>
      <c r="C52" t="s">
        <v>50</v>
      </c>
      <c r="D52">
        <v>7231538</v>
      </c>
      <c r="E52">
        <v>1256141</v>
      </c>
      <c r="F52" s="54">
        <f t="shared" si="0"/>
        <v>0.17370315968746897</v>
      </c>
    </row>
    <row r="53" spans="1:6" x14ac:dyDescent="0.35">
      <c r="A53" t="s">
        <v>359</v>
      </c>
      <c r="B53">
        <v>204</v>
      </c>
      <c r="C53" t="s">
        <v>20</v>
      </c>
      <c r="D53">
        <v>5843317</v>
      </c>
      <c r="E53">
        <v>11216</v>
      </c>
      <c r="F53" s="54">
        <f t="shared" si="0"/>
        <v>1.9194577326542442E-3</v>
      </c>
    </row>
    <row r="54" spans="1:6" x14ac:dyDescent="0.35">
      <c r="A54" t="s">
        <v>359</v>
      </c>
      <c r="B54">
        <v>210</v>
      </c>
      <c r="C54" t="s">
        <v>53</v>
      </c>
      <c r="D54">
        <v>991923493</v>
      </c>
      <c r="E54">
        <v>31097887</v>
      </c>
      <c r="F54" s="54">
        <f t="shared" si="0"/>
        <v>3.1351094332836817E-2</v>
      </c>
    </row>
    <row r="55" spans="1:6" x14ac:dyDescent="0.35">
      <c r="A55" t="s">
        <v>365</v>
      </c>
      <c r="B55">
        <v>221</v>
      </c>
      <c r="C55" t="s">
        <v>54</v>
      </c>
      <c r="D55">
        <v>63308619</v>
      </c>
      <c r="E55">
        <v>1679277</v>
      </c>
      <c r="F55" s="54">
        <f t="shared" si="0"/>
        <v>2.6525250850914943E-2</v>
      </c>
    </row>
    <row r="56" spans="1:6" x14ac:dyDescent="0.35">
      <c r="A56" t="s">
        <v>365</v>
      </c>
      <c r="B56">
        <v>222</v>
      </c>
      <c r="C56" t="s">
        <v>56</v>
      </c>
      <c r="D56">
        <v>431417018</v>
      </c>
      <c r="E56">
        <v>8474995</v>
      </c>
      <c r="F56" s="54">
        <f t="shared" si="0"/>
        <v>1.9644554216449572E-2</v>
      </c>
    </row>
    <row r="57" spans="1:6" x14ac:dyDescent="0.35">
      <c r="A57" t="s">
        <v>368</v>
      </c>
      <c r="B57">
        <v>231</v>
      </c>
      <c r="C57" t="s">
        <v>58</v>
      </c>
      <c r="D57">
        <v>70375690</v>
      </c>
      <c r="E57">
        <v>1914923</v>
      </c>
      <c r="F57" s="54">
        <f t="shared" si="0"/>
        <v>2.7210006750910721E-2</v>
      </c>
    </row>
    <row r="58" spans="1:6" x14ac:dyDescent="0.35">
      <c r="A58" t="s">
        <v>368</v>
      </c>
      <c r="B58">
        <v>239</v>
      </c>
      <c r="C58" t="s">
        <v>59</v>
      </c>
      <c r="D58">
        <v>576636871</v>
      </c>
      <c r="E58">
        <v>24903372</v>
      </c>
      <c r="F58" s="54">
        <f t="shared" si="0"/>
        <v>4.3187269584084573E-2</v>
      </c>
    </row>
    <row r="59" spans="1:6" x14ac:dyDescent="0.35">
      <c r="A59" t="s">
        <v>371</v>
      </c>
      <c r="B59">
        <v>241</v>
      </c>
      <c r="C59" t="s">
        <v>27</v>
      </c>
      <c r="D59">
        <v>470760252</v>
      </c>
      <c r="E59">
        <v>2015159</v>
      </c>
      <c r="F59" s="54">
        <f t="shared" si="0"/>
        <v>4.2806481461395767E-3</v>
      </c>
    </row>
    <row r="60" spans="1:6" x14ac:dyDescent="0.35">
      <c r="A60" t="s">
        <v>371</v>
      </c>
      <c r="B60">
        <v>242</v>
      </c>
      <c r="C60" t="s">
        <v>13</v>
      </c>
      <c r="D60">
        <v>238815019</v>
      </c>
      <c r="E60">
        <v>278630</v>
      </c>
      <c r="F60" s="54">
        <f t="shared" si="0"/>
        <v>1.1667189156139297E-3</v>
      </c>
    </row>
    <row r="61" spans="1:6" x14ac:dyDescent="0.35">
      <c r="A61" t="s">
        <v>371</v>
      </c>
      <c r="B61">
        <v>243</v>
      </c>
      <c r="C61" t="s">
        <v>42</v>
      </c>
      <c r="D61">
        <v>131058134</v>
      </c>
      <c r="E61">
        <v>1499678</v>
      </c>
      <c r="F61" s="54">
        <f t="shared" si="0"/>
        <v>1.1442845661147595E-2</v>
      </c>
    </row>
    <row r="62" spans="1:6" x14ac:dyDescent="0.35">
      <c r="A62" t="s">
        <v>375</v>
      </c>
      <c r="B62">
        <v>251</v>
      </c>
      <c r="C62" t="s">
        <v>61</v>
      </c>
      <c r="D62">
        <v>140023539</v>
      </c>
      <c r="E62">
        <v>4945843</v>
      </c>
      <c r="F62" s="54">
        <f t="shared" si="0"/>
        <v>3.5321511192485999E-2</v>
      </c>
    </row>
    <row r="63" spans="1:6" x14ac:dyDescent="0.35">
      <c r="A63" t="s">
        <v>375</v>
      </c>
      <c r="B63">
        <v>252</v>
      </c>
      <c r="C63" t="s">
        <v>3</v>
      </c>
      <c r="D63">
        <v>282727</v>
      </c>
      <c r="E63">
        <v>0</v>
      </c>
      <c r="F63" s="54">
        <f t="shared" si="0"/>
        <v>0</v>
      </c>
    </row>
    <row r="64" spans="1:6" x14ac:dyDescent="0.35">
      <c r="A64" t="s">
        <v>375</v>
      </c>
      <c r="B64">
        <v>259</v>
      </c>
      <c r="C64" t="s">
        <v>60</v>
      </c>
      <c r="D64">
        <v>443677861</v>
      </c>
      <c r="E64">
        <v>8486541</v>
      </c>
      <c r="F64" s="54">
        <f t="shared" si="0"/>
        <v>1.9127708966303371E-2</v>
      </c>
    </row>
    <row r="65" spans="1:6" x14ac:dyDescent="0.35">
      <c r="A65" t="s">
        <v>375</v>
      </c>
      <c r="B65">
        <v>261</v>
      </c>
      <c r="C65" t="s">
        <v>62</v>
      </c>
      <c r="D65">
        <v>11060645</v>
      </c>
      <c r="E65">
        <v>676575</v>
      </c>
      <c r="F65" s="54">
        <f t="shared" si="0"/>
        <v>6.116957917011169E-2</v>
      </c>
    </row>
    <row r="66" spans="1:6" x14ac:dyDescent="0.35">
      <c r="A66" t="s">
        <v>375</v>
      </c>
      <c r="B66">
        <v>262</v>
      </c>
      <c r="C66" t="s">
        <v>55</v>
      </c>
      <c r="D66">
        <v>94531966</v>
      </c>
      <c r="E66">
        <v>1381392</v>
      </c>
      <c r="F66" s="54">
        <f t="shared" si="0"/>
        <v>1.461296171498221E-2</v>
      </c>
    </row>
    <row r="67" spans="1:6" x14ac:dyDescent="0.35">
      <c r="A67" t="s">
        <v>375</v>
      </c>
      <c r="B67">
        <v>263</v>
      </c>
      <c r="C67" t="s">
        <v>22</v>
      </c>
      <c r="D67">
        <v>193960277</v>
      </c>
      <c r="E67">
        <v>460132</v>
      </c>
      <c r="F67" s="54">
        <f t="shared" ref="F67:F130" si="1">E67/D67</f>
        <v>2.3723001797940307E-3</v>
      </c>
    </row>
    <row r="68" spans="1:6" x14ac:dyDescent="0.35">
      <c r="A68" t="s">
        <v>375</v>
      </c>
      <c r="B68">
        <v>264</v>
      </c>
      <c r="C68" t="s">
        <v>5</v>
      </c>
      <c r="D68">
        <v>639650884</v>
      </c>
      <c r="E68">
        <v>8384</v>
      </c>
      <c r="F68" s="54">
        <f t="shared" si="1"/>
        <v>1.3107149868333489E-5</v>
      </c>
    </row>
    <row r="69" spans="1:6" x14ac:dyDescent="0.35">
      <c r="A69" t="s">
        <v>375</v>
      </c>
      <c r="B69">
        <v>265</v>
      </c>
      <c r="C69" t="s">
        <v>57</v>
      </c>
      <c r="D69">
        <v>11353819</v>
      </c>
      <c r="E69">
        <v>179703</v>
      </c>
      <c r="F69" s="54">
        <f t="shared" si="1"/>
        <v>1.5827537853122374E-2</v>
      </c>
    </row>
    <row r="70" spans="1:6" x14ac:dyDescent="0.35">
      <c r="A70" t="s">
        <v>375</v>
      </c>
      <c r="B70">
        <v>266</v>
      </c>
      <c r="C70" t="s">
        <v>51</v>
      </c>
      <c r="D70">
        <v>36439025</v>
      </c>
      <c r="E70">
        <v>492646</v>
      </c>
      <c r="F70" s="54">
        <f t="shared" si="1"/>
        <v>1.3519736052213252E-2</v>
      </c>
    </row>
    <row r="71" spans="1:6" x14ac:dyDescent="0.35">
      <c r="A71" t="s">
        <v>375</v>
      </c>
      <c r="B71">
        <v>267</v>
      </c>
      <c r="C71" t="s">
        <v>24</v>
      </c>
      <c r="D71">
        <v>8591452</v>
      </c>
      <c r="E71">
        <v>27234</v>
      </c>
      <c r="F71" s="54">
        <f t="shared" si="1"/>
        <v>3.169894914154208E-3</v>
      </c>
    </row>
    <row r="72" spans="1:6" x14ac:dyDescent="0.35">
      <c r="A72" t="s">
        <v>375</v>
      </c>
      <c r="B72">
        <v>268</v>
      </c>
      <c r="C72" t="s">
        <v>64</v>
      </c>
      <c r="D72">
        <v>12640243</v>
      </c>
      <c r="E72">
        <v>857856</v>
      </c>
      <c r="F72" s="54">
        <f t="shared" si="1"/>
        <v>6.7867049707826033E-2</v>
      </c>
    </row>
    <row r="73" spans="1:6" x14ac:dyDescent="0.35">
      <c r="A73" t="s">
        <v>375</v>
      </c>
      <c r="B73">
        <v>271</v>
      </c>
      <c r="C73" t="s">
        <v>65</v>
      </c>
      <c r="D73">
        <v>65194044</v>
      </c>
      <c r="E73">
        <v>8721403</v>
      </c>
      <c r="F73" s="54">
        <f t="shared" si="1"/>
        <v>0.13377607009621922</v>
      </c>
    </row>
    <row r="74" spans="1:6" x14ac:dyDescent="0.35">
      <c r="A74" t="s">
        <v>375</v>
      </c>
      <c r="B74">
        <v>272</v>
      </c>
      <c r="C74" t="s">
        <v>66</v>
      </c>
      <c r="D74">
        <v>33630099</v>
      </c>
      <c r="E74">
        <v>2969356</v>
      </c>
      <c r="F74" s="54">
        <f t="shared" si="1"/>
        <v>8.8294595861879557E-2</v>
      </c>
    </row>
    <row r="75" spans="1:6" x14ac:dyDescent="0.35">
      <c r="A75" t="s">
        <v>375</v>
      </c>
      <c r="B75">
        <v>273</v>
      </c>
      <c r="C75" t="s">
        <v>9</v>
      </c>
      <c r="D75">
        <v>34868414</v>
      </c>
      <c r="E75">
        <v>5084</v>
      </c>
      <c r="F75" s="54">
        <f t="shared" si="1"/>
        <v>1.4580531251005567E-4</v>
      </c>
    </row>
    <row r="76" spans="1:6" x14ac:dyDescent="0.35">
      <c r="A76" t="s">
        <v>375</v>
      </c>
      <c r="B76">
        <v>274</v>
      </c>
      <c r="C76" t="s">
        <v>38</v>
      </c>
      <c r="D76">
        <v>58903385</v>
      </c>
      <c r="E76">
        <v>423916</v>
      </c>
      <c r="F76" s="54">
        <f t="shared" si="1"/>
        <v>7.1968020174052816E-3</v>
      </c>
    </row>
    <row r="77" spans="1:6" x14ac:dyDescent="0.35">
      <c r="A77" t="s">
        <v>375</v>
      </c>
      <c r="B77">
        <v>275</v>
      </c>
      <c r="C77" t="s">
        <v>18</v>
      </c>
      <c r="D77">
        <v>456571188</v>
      </c>
      <c r="E77">
        <v>756352</v>
      </c>
      <c r="F77" s="54">
        <f t="shared" si="1"/>
        <v>1.6565916112954548E-3</v>
      </c>
    </row>
    <row r="78" spans="1:6" x14ac:dyDescent="0.35">
      <c r="A78" t="s">
        <v>375</v>
      </c>
      <c r="B78">
        <v>279</v>
      </c>
      <c r="C78" t="s">
        <v>40</v>
      </c>
      <c r="D78">
        <v>60257051</v>
      </c>
      <c r="E78">
        <v>617426</v>
      </c>
      <c r="F78" s="54">
        <f t="shared" si="1"/>
        <v>1.0246535297587E-2</v>
      </c>
    </row>
    <row r="79" spans="1:6" x14ac:dyDescent="0.35">
      <c r="A79" t="s">
        <v>375</v>
      </c>
      <c r="B79">
        <v>281</v>
      </c>
      <c r="C79" t="s">
        <v>32</v>
      </c>
      <c r="D79">
        <v>405686639</v>
      </c>
      <c r="E79">
        <v>2090054</v>
      </c>
      <c r="F79" s="54">
        <f t="shared" si="1"/>
        <v>5.151892616310689E-3</v>
      </c>
    </row>
    <row r="80" spans="1:6" x14ac:dyDescent="0.35">
      <c r="A80" t="s">
        <v>375</v>
      </c>
      <c r="B80">
        <v>282</v>
      </c>
      <c r="C80" t="s">
        <v>29</v>
      </c>
      <c r="D80">
        <v>556109231</v>
      </c>
      <c r="E80">
        <v>2387188</v>
      </c>
      <c r="F80" s="54">
        <f t="shared" si="1"/>
        <v>4.2926602669539219E-3</v>
      </c>
    </row>
    <row r="81" spans="1:6" x14ac:dyDescent="0.35">
      <c r="A81" t="s">
        <v>395</v>
      </c>
      <c r="B81">
        <v>291</v>
      </c>
      <c r="C81" t="s">
        <v>11</v>
      </c>
      <c r="D81">
        <v>2209547732</v>
      </c>
      <c r="E81">
        <v>713276</v>
      </c>
      <c r="F81" s="54">
        <f t="shared" si="1"/>
        <v>3.2281538419374594E-4</v>
      </c>
    </row>
    <row r="82" spans="1:6" x14ac:dyDescent="0.35">
      <c r="A82" t="s">
        <v>395</v>
      </c>
      <c r="B82">
        <v>292</v>
      </c>
      <c r="C82" t="s">
        <v>16</v>
      </c>
      <c r="D82">
        <v>173217451</v>
      </c>
      <c r="E82">
        <v>257051</v>
      </c>
      <c r="F82" s="54">
        <f t="shared" si="1"/>
        <v>1.4839786552453078E-3</v>
      </c>
    </row>
    <row r="83" spans="1:6" x14ac:dyDescent="0.35">
      <c r="A83" t="s">
        <v>395</v>
      </c>
      <c r="B83">
        <v>293</v>
      </c>
      <c r="C83" t="s">
        <v>44</v>
      </c>
      <c r="D83">
        <v>223093344</v>
      </c>
      <c r="E83">
        <v>2690352</v>
      </c>
      <c r="F83" s="54">
        <f t="shared" si="1"/>
        <v>1.2059310922337512E-2</v>
      </c>
    </row>
    <row r="84" spans="1:6" x14ac:dyDescent="0.35">
      <c r="A84" t="s">
        <v>395</v>
      </c>
      <c r="B84">
        <v>301</v>
      </c>
      <c r="C84" t="s">
        <v>48</v>
      </c>
      <c r="D84">
        <v>14679298</v>
      </c>
      <c r="E84">
        <v>200800</v>
      </c>
      <c r="F84" s="54">
        <f t="shared" si="1"/>
        <v>1.3679128252590825E-2</v>
      </c>
    </row>
    <row r="85" spans="1:6" x14ac:dyDescent="0.35">
      <c r="A85" t="s">
        <v>395</v>
      </c>
      <c r="B85">
        <v>302</v>
      </c>
      <c r="C85" t="s">
        <v>69</v>
      </c>
      <c r="D85">
        <v>846674</v>
      </c>
      <c r="E85">
        <v>446344</v>
      </c>
      <c r="F85" s="54">
        <f t="shared" si="1"/>
        <v>0.52717338668720193</v>
      </c>
    </row>
    <row r="86" spans="1:6" x14ac:dyDescent="0.35">
      <c r="A86" t="s">
        <v>395</v>
      </c>
      <c r="B86">
        <v>303</v>
      </c>
      <c r="C86" t="s">
        <v>7</v>
      </c>
      <c r="D86">
        <v>21600133</v>
      </c>
      <c r="E86">
        <v>861</v>
      </c>
      <c r="F86" s="54">
        <f t="shared" si="1"/>
        <v>3.9860865671521562E-5</v>
      </c>
    </row>
    <row r="87" spans="1:6" x14ac:dyDescent="0.35">
      <c r="A87" t="s">
        <v>395</v>
      </c>
      <c r="B87">
        <v>309</v>
      </c>
      <c r="C87" t="s">
        <v>26</v>
      </c>
      <c r="D87">
        <v>189176301</v>
      </c>
      <c r="E87">
        <v>639838</v>
      </c>
      <c r="F87" s="54">
        <f t="shared" si="1"/>
        <v>3.3822312658497323E-3</v>
      </c>
    </row>
    <row r="88" spans="1:6" x14ac:dyDescent="0.35">
      <c r="A88" t="s">
        <v>403</v>
      </c>
      <c r="B88">
        <v>310</v>
      </c>
      <c r="C88" t="s">
        <v>68</v>
      </c>
      <c r="D88">
        <v>147204505</v>
      </c>
      <c r="E88">
        <v>12379941</v>
      </c>
      <c r="F88" s="54">
        <f t="shared" si="1"/>
        <v>8.4100286197083443E-2</v>
      </c>
    </row>
    <row r="89" spans="1:6" x14ac:dyDescent="0.35">
      <c r="A89" t="s">
        <v>403</v>
      </c>
      <c r="B89">
        <v>321</v>
      </c>
      <c r="C89" t="s">
        <v>67</v>
      </c>
      <c r="D89">
        <v>477951</v>
      </c>
      <c r="E89">
        <v>38323</v>
      </c>
      <c r="F89" s="54">
        <f t="shared" si="1"/>
        <v>8.0181859646700188E-2</v>
      </c>
    </row>
    <row r="90" spans="1:6" x14ac:dyDescent="0.35">
      <c r="A90" t="s">
        <v>403</v>
      </c>
      <c r="B90">
        <v>322</v>
      </c>
      <c r="C90" t="s">
        <v>36</v>
      </c>
      <c r="D90">
        <v>1973309</v>
      </c>
      <c r="E90">
        <v>10913</v>
      </c>
      <c r="F90" s="54">
        <f t="shared" si="1"/>
        <v>5.5303046811219121E-3</v>
      </c>
    </row>
    <row r="91" spans="1:6" x14ac:dyDescent="0.35">
      <c r="A91" t="s">
        <v>403</v>
      </c>
      <c r="B91">
        <v>323</v>
      </c>
      <c r="C91" t="s">
        <v>63</v>
      </c>
      <c r="D91">
        <v>4039011</v>
      </c>
      <c r="E91">
        <v>167688</v>
      </c>
      <c r="F91" s="54">
        <f t="shared" si="1"/>
        <v>4.1517094159931725E-2</v>
      </c>
    </row>
    <row r="92" spans="1:6" x14ac:dyDescent="0.35">
      <c r="A92" t="s">
        <v>403</v>
      </c>
      <c r="B92">
        <v>324</v>
      </c>
      <c r="C92" t="s">
        <v>46</v>
      </c>
      <c r="D92">
        <v>4662430</v>
      </c>
      <c r="E92">
        <v>59315</v>
      </c>
      <c r="F92" s="54">
        <f t="shared" si="1"/>
        <v>1.2721906816831566E-2</v>
      </c>
    </row>
    <row r="93" spans="1:6" x14ac:dyDescent="0.35">
      <c r="A93" t="s">
        <v>403</v>
      </c>
      <c r="B93">
        <v>329</v>
      </c>
      <c r="C93" t="s">
        <v>52</v>
      </c>
      <c r="D93">
        <v>348542911</v>
      </c>
      <c r="E93">
        <v>4724691</v>
      </c>
      <c r="F93" s="54">
        <f t="shared" si="1"/>
        <v>1.3555550409688292E-2</v>
      </c>
    </row>
    <row r="94" spans="1:6" x14ac:dyDescent="0.35">
      <c r="A94" t="s">
        <v>403</v>
      </c>
      <c r="B94">
        <v>331</v>
      </c>
      <c r="C94" t="s">
        <v>798</v>
      </c>
      <c r="D94">
        <v>59430969</v>
      </c>
      <c r="E94">
        <v>1886751</v>
      </c>
      <c r="F94" s="54">
        <f t="shared" si="1"/>
        <v>3.1746933151973342E-2</v>
      </c>
    </row>
    <row r="95" spans="1:6" x14ac:dyDescent="0.35">
      <c r="A95" t="s">
        <v>403</v>
      </c>
      <c r="B95">
        <v>332</v>
      </c>
      <c r="C95" t="s">
        <v>799</v>
      </c>
      <c r="D95">
        <v>9037444</v>
      </c>
      <c r="E95">
        <v>331271</v>
      </c>
      <c r="F95" s="54">
        <f t="shared" si="1"/>
        <v>3.665538619105136E-2</v>
      </c>
    </row>
    <row r="96" spans="1:6" x14ac:dyDescent="0.35">
      <c r="A96" t="s">
        <v>412</v>
      </c>
      <c r="B96">
        <v>351</v>
      </c>
      <c r="C96" t="s">
        <v>800</v>
      </c>
      <c r="D96">
        <v>2677708384</v>
      </c>
      <c r="E96">
        <v>1737919</v>
      </c>
      <c r="F96" s="54">
        <f t="shared" si="1"/>
        <v>6.4903221365870739E-4</v>
      </c>
    </row>
    <row r="97" spans="1:6" x14ac:dyDescent="0.35">
      <c r="A97" t="s">
        <v>412</v>
      </c>
      <c r="B97">
        <v>352</v>
      </c>
      <c r="C97" t="s">
        <v>801</v>
      </c>
      <c r="D97">
        <v>251049036</v>
      </c>
      <c r="E97">
        <v>2832694</v>
      </c>
      <c r="F97" s="54">
        <f t="shared" si="1"/>
        <v>1.1283429106654686E-2</v>
      </c>
    </row>
    <row r="98" spans="1:6" x14ac:dyDescent="0.35">
      <c r="A98" t="s">
        <v>412</v>
      </c>
      <c r="B98">
        <v>353</v>
      </c>
      <c r="C98" t="s">
        <v>165</v>
      </c>
      <c r="D98">
        <v>1910083</v>
      </c>
      <c r="E98">
        <v>1416</v>
      </c>
      <c r="F98" s="54">
        <f t="shared" si="1"/>
        <v>7.413290417222707E-4</v>
      </c>
    </row>
    <row r="99" spans="1:6" x14ac:dyDescent="0.35">
      <c r="A99" t="s">
        <v>412</v>
      </c>
      <c r="B99">
        <v>360</v>
      </c>
      <c r="C99" t="s">
        <v>802</v>
      </c>
      <c r="D99">
        <v>23274721</v>
      </c>
      <c r="E99">
        <v>575531</v>
      </c>
      <c r="F99" s="54">
        <f t="shared" si="1"/>
        <v>2.472772928191062E-2</v>
      </c>
    </row>
    <row r="100" spans="1:6" x14ac:dyDescent="0.35">
      <c r="A100" t="s">
        <v>412</v>
      </c>
      <c r="B100">
        <v>370</v>
      </c>
      <c r="C100" t="s">
        <v>803</v>
      </c>
      <c r="D100">
        <v>11076926</v>
      </c>
      <c r="E100">
        <v>873341</v>
      </c>
      <c r="F100" s="54">
        <f t="shared" si="1"/>
        <v>7.8843263916360914E-2</v>
      </c>
    </row>
    <row r="101" spans="1:6" x14ac:dyDescent="0.35">
      <c r="A101" t="s">
        <v>412</v>
      </c>
      <c r="B101">
        <v>381</v>
      </c>
      <c r="C101" t="s">
        <v>804</v>
      </c>
      <c r="D101">
        <v>138373411</v>
      </c>
      <c r="E101">
        <v>3919035</v>
      </c>
      <c r="F101" s="54">
        <f t="shared" si="1"/>
        <v>2.8322168050045397E-2</v>
      </c>
    </row>
    <row r="102" spans="1:6" x14ac:dyDescent="0.35">
      <c r="A102" t="s">
        <v>412</v>
      </c>
      <c r="B102">
        <v>382</v>
      </c>
      <c r="C102" t="s">
        <v>805</v>
      </c>
      <c r="D102">
        <v>20928969</v>
      </c>
      <c r="E102">
        <v>842518</v>
      </c>
      <c r="F102" s="54">
        <f t="shared" si="1"/>
        <v>4.0256068036605148E-2</v>
      </c>
    </row>
    <row r="103" spans="1:6" x14ac:dyDescent="0.35">
      <c r="A103" t="s">
        <v>412</v>
      </c>
      <c r="B103">
        <v>390</v>
      </c>
      <c r="C103" t="s">
        <v>806</v>
      </c>
      <c r="D103">
        <v>6321380</v>
      </c>
      <c r="E103">
        <v>208409</v>
      </c>
      <c r="F103" s="54">
        <f t="shared" si="1"/>
        <v>3.2968908687659976E-2</v>
      </c>
    </row>
    <row r="104" spans="1:6" x14ac:dyDescent="0.35">
      <c r="A104" t="s">
        <v>421</v>
      </c>
      <c r="B104">
        <v>410</v>
      </c>
      <c r="C104" t="s">
        <v>807</v>
      </c>
      <c r="D104">
        <v>683440409</v>
      </c>
      <c r="E104">
        <v>39107191</v>
      </c>
      <c r="F104" s="54">
        <f t="shared" si="1"/>
        <v>5.7221069291499851E-2</v>
      </c>
    </row>
    <row r="105" spans="1:6" x14ac:dyDescent="0.35">
      <c r="A105" t="s">
        <v>421</v>
      </c>
      <c r="B105">
        <v>421</v>
      </c>
      <c r="C105" t="s">
        <v>808</v>
      </c>
      <c r="D105">
        <v>274676336</v>
      </c>
      <c r="E105">
        <v>11033699</v>
      </c>
      <c r="F105" s="54">
        <f t="shared" si="1"/>
        <v>4.0169820089634517E-2</v>
      </c>
    </row>
    <row r="106" spans="1:6" x14ac:dyDescent="0.35">
      <c r="A106" t="s">
        <v>421</v>
      </c>
      <c r="B106">
        <v>422</v>
      </c>
      <c r="C106" t="s">
        <v>809</v>
      </c>
      <c r="D106">
        <v>158987783</v>
      </c>
      <c r="E106">
        <v>5105184</v>
      </c>
      <c r="F106" s="54">
        <f t="shared" si="1"/>
        <v>3.2110542732707956E-2</v>
      </c>
    </row>
    <row r="107" spans="1:6" x14ac:dyDescent="0.35">
      <c r="A107" t="s">
        <v>421</v>
      </c>
      <c r="B107">
        <v>429</v>
      </c>
      <c r="C107" t="s">
        <v>810</v>
      </c>
      <c r="D107">
        <v>434774421</v>
      </c>
      <c r="E107">
        <v>20555437</v>
      </c>
      <c r="F107" s="54">
        <f t="shared" si="1"/>
        <v>4.7278395432559267E-2</v>
      </c>
    </row>
    <row r="108" spans="1:6" x14ac:dyDescent="0.35">
      <c r="A108" t="s">
        <v>421</v>
      </c>
      <c r="B108">
        <v>431</v>
      </c>
      <c r="C108" t="s">
        <v>811</v>
      </c>
      <c r="D108">
        <v>124272176</v>
      </c>
      <c r="E108">
        <v>8848784</v>
      </c>
      <c r="F108" s="54">
        <f t="shared" si="1"/>
        <v>7.12048689000183E-2</v>
      </c>
    </row>
    <row r="109" spans="1:6" x14ac:dyDescent="0.35">
      <c r="A109" t="s">
        <v>421</v>
      </c>
      <c r="B109">
        <v>432</v>
      </c>
      <c r="C109" t="s">
        <v>812</v>
      </c>
      <c r="D109">
        <v>101306410</v>
      </c>
      <c r="E109">
        <v>5073524</v>
      </c>
      <c r="F109" s="54">
        <f t="shared" si="1"/>
        <v>5.0080977106976746E-2</v>
      </c>
    </row>
    <row r="110" spans="1:6" x14ac:dyDescent="0.35">
      <c r="A110" t="s">
        <v>421</v>
      </c>
      <c r="B110">
        <v>433</v>
      </c>
      <c r="C110" t="s">
        <v>813</v>
      </c>
      <c r="D110">
        <v>14764944</v>
      </c>
      <c r="E110">
        <v>1375638</v>
      </c>
      <c r="F110" s="54">
        <f t="shared" si="1"/>
        <v>9.3169198609896517E-2</v>
      </c>
    </row>
    <row r="111" spans="1:6" x14ac:dyDescent="0.35">
      <c r="A111" t="s">
        <v>421</v>
      </c>
      <c r="B111">
        <v>439</v>
      </c>
      <c r="C111" t="s">
        <v>814</v>
      </c>
      <c r="D111">
        <v>89329555</v>
      </c>
      <c r="E111">
        <v>4049036</v>
      </c>
      <c r="F111" s="54">
        <f t="shared" si="1"/>
        <v>4.5326946943819432E-2</v>
      </c>
    </row>
    <row r="112" spans="1:6" x14ac:dyDescent="0.35">
      <c r="A112" t="s">
        <v>430</v>
      </c>
      <c r="B112">
        <v>451</v>
      </c>
      <c r="C112" t="s">
        <v>815</v>
      </c>
      <c r="D112">
        <v>2379859755</v>
      </c>
      <c r="E112">
        <v>9815136</v>
      </c>
      <c r="F112" s="54">
        <f t="shared" si="1"/>
        <v>4.1242497501706773E-3</v>
      </c>
    </row>
    <row r="113" spans="1:6" x14ac:dyDescent="0.35">
      <c r="A113" t="s">
        <v>430</v>
      </c>
      <c r="B113">
        <v>452</v>
      </c>
      <c r="C113" t="s">
        <v>816</v>
      </c>
      <c r="D113">
        <v>126374321</v>
      </c>
      <c r="E113">
        <v>8048815</v>
      </c>
      <c r="F113" s="54">
        <f t="shared" si="1"/>
        <v>6.3690272962970071E-2</v>
      </c>
    </row>
    <row r="114" spans="1:6" x14ac:dyDescent="0.35">
      <c r="A114" t="s">
        <v>430</v>
      </c>
      <c r="B114">
        <v>453</v>
      </c>
      <c r="C114" t="s">
        <v>817</v>
      </c>
      <c r="D114">
        <v>405210685</v>
      </c>
      <c r="E114">
        <v>14889793</v>
      </c>
      <c r="F114" s="54">
        <f t="shared" si="1"/>
        <v>3.6745805456734192E-2</v>
      </c>
    </row>
    <row r="115" spans="1:6" x14ac:dyDescent="0.35">
      <c r="A115" t="s">
        <v>430</v>
      </c>
      <c r="B115">
        <v>454</v>
      </c>
      <c r="C115" t="s">
        <v>818</v>
      </c>
      <c r="D115">
        <v>62912460</v>
      </c>
      <c r="E115">
        <v>2856255</v>
      </c>
      <c r="F115" s="54">
        <f t="shared" si="1"/>
        <v>4.5400465980824783E-2</v>
      </c>
    </row>
    <row r="116" spans="1:6" x14ac:dyDescent="0.35">
      <c r="A116" t="s">
        <v>430</v>
      </c>
      <c r="B116">
        <v>461</v>
      </c>
      <c r="C116" t="s">
        <v>819</v>
      </c>
      <c r="D116">
        <v>1745430294</v>
      </c>
      <c r="E116">
        <v>83950717</v>
      </c>
      <c r="F116" s="54">
        <f t="shared" si="1"/>
        <v>4.8097433216659866E-2</v>
      </c>
    </row>
    <row r="117" spans="1:6" x14ac:dyDescent="0.35">
      <c r="A117" t="s">
        <v>430</v>
      </c>
      <c r="B117">
        <v>462</v>
      </c>
      <c r="C117" t="s">
        <v>188</v>
      </c>
      <c r="D117">
        <v>996108034</v>
      </c>
      <c r="E117">
        <v>15245827</v>
      </c>
      <c r="F117" s="54">
        <f t="shared" si="1"/>
        <v>1.5305395077257252E-2</v>
      </c>
    </row>
    <row r="118" spans="1:6" x14ac:dyDescent="0.35">
      <c r="A118" t="s">
        <v>430</v>
      </c>
      <c r="B118">
        <v>463</v>
      </c>
      <c r="C118" t="s">
        <v>185</v>
      </c>
      <c r="D118">
        <v>741841831</v>
      </c>
      <c r="E118">
        <v>50220197</v>
      </c>
      <c r="F118" s="54">
        <f t="shared" si="1"/>
        <v>6.7696636805049615E-2</v>
      </c>
    </row>
    <row r="119" spans="1:6" x14ac:dyDescent="0.35">
      <c r="A119" t="s">
        <v>430</v>
      </c>
      <c r="B119">
        <v>464</v>
      </c>
      <c r="C119" t="s">
        <v>820</v>
      </c>
      <c r="D119">
        <v>1788819861</v>
      </c>
      <c r="E119">
        <v>55818648</v>
      </c>
      <c r="F119" s="54">
        <f t="shared" si="1"/>
        <v>3.1204175007759488E-2</v>
      </c>
    </row>
    <row r="120" spans="1:6" x14ac:dyDescent="0.35">
      <c r="A120" t="s">
        <v>430</v>
      </c>
      <c r="B120">
        <v>465</v>
      </c>
      <c r="C120" t="s">
        <v>821</v>
      </c>
      <c r="D120">
        <v>820886600</v>
      </c>
      <c r="E120">
        <v>13992752</v>
      </c>
      <c r="F120" s="54">
        <f t="shared" si="1"/>
        <v>1.7045901346178633E-2</v>
      </c>
    </row>
    <row r="121" spans="1:6" x14ac:dyDescent="0.35">
      <c r="A121" t="s">
        <v>430</v>
      </c>
      <c r="B121">
        <v>466</v>
      </c>
      <c r="C121" t="s">
        <v>187</v>
      </c>
      <c r="D121">
        <v>1229536981</v>
      </c>
      <c r="E121">
        <v>56116381</v>
      </c>
      <c r="F121" s="54">
        <f t="shared" si="1"/>
        <v>4.5640254719593508E-2</v>
      </c>
    </row>
    <row r="122" spans="1:6" x14ac:dyDescent="0.35">
      <c r="A122" t="s">
        <v>430</v>
      </c>
      <c r="B122">
        <v>469</v>
      </c>
      <c r="C122" t="s">
        <v>822</v>
      </c>
      <c r="D122">
        <v>237566822</v>
      </c>
      <c r="E122">
        <v>6070172</v>
      </c>
      <c r="F122" s="54">
        <f t="shared" si="1"/>
        <v>2.5551429904635419E-2</v>
      </c>
    </row>
    <row r="123" spans="1:6" x14ac:dyDescent="0.35">
      <c r="A123" t="s">
        <v>430</v>
      </c>
      <c r="B123">
        <v>471</v>
      </c>
      <c r="C123" t="s">
        <v>190</v>
      </c>
      <c r="D123">
        <v>513868559</v>
      </c>
      <c r="E123">
        <v>20638479</v>
      </c>
      <c r="F123" s="54">
        <f t="shared" si="1"/>
        <v>4.0162953421713429E-2</v>
      </c>
    </row>
    <row r="124" spans="1:6" x14ac:dyDescent="0.35">
      <c r="A124" t="s">
        <v>430</v>
      </c>
      <c r="B124">
        <v>472</v>
      </c>
      <c r="C124" t="s">
        <v>193</v>
      </c>
      <c r="D124">
        <v>497633341</v>
      </c>
      <c r="E124">
        <v>57232578</v>
      </c>
      <c r="F124" s="54">
        <f t="shared" si="1"/>
        <v>0.11500953269125913</v>
      </c>
    </row>
    <row r="125" spans="1:6" x14ac:dyDescent="0.35">
      <c r="A125" t="s">
        <v>430</v>
      </c>
      <c r="B125">
        <v>473</v>
      </c>
      <c r="C125" t="s">
        <v>823</v>
      </c>
      <c r="D125">
        <v>416579241</v>
      </c>
      <c r="E125">
        <v>6146722</v>
      </c>
      <c r="F125" s="54">
        <f t="shared" si="1"/>
        <v>1.4755228765707987E-2</v>
      </c>
    </row>
    <row r="126" spans="1:6" x14ac:dyDescent="0.35">
      <c r="A126" t="s">
        <v>430</v>
      </c>
      <c r="B126">
        <v>474</v>
      </c>
      <c r="C126" t="s">
        <v>824</v>
      </c>
      <c r="D126">
        <v>73404621</v>
      </c>
      <c r="E126">
        <v>4617501</v>
      </c>
      <c r="F126" s="54">
        <f t="shared" si="1"/>
        <v>6.2904772711788806E-2</v>
      </c>
    </row>
    <row r="127" spans="1:6" x14ac:dyDescent="0.35">
      <c r="A127" t="s">
        <v>430</v>
      </c>
      <c r="B127">
        <v>475</v>
      </c>
      <c r="C127" t="s">
        <v>825</v>
      </c>
      <c r="D127">
        <v>1094741173</v>
      </c>
      <c r="E127">
        <v>45559699</v>
      </c>
      <c r="F127" s="54">
        <f t="shared" si="1"/>
        <v>4.1616868099652628E-2</v>
      </c>
    </row>
    <row r="128" spans="1:6" x14ac:dyDescent="0.35">
      <c r="A128" t="s">
        <v>430</v>
      </c>
      <c r="B128">
        <v>476</v>
      </c>
      <c r="C128" t="s">
        <v>195</v>
      </c>
      <c r="D128">
        <v>76133857</v>
      </c>
      <c r="E128">
        <v>3701285</v>
      </c>
      <c r="F128" s="54">
        <f t="shared" si="1"/>
        <v>4.8615493104467306E-2</v>
      </c>
    </row>
    <row r="129" spans="1:6" x14ac:dyDescent="0.35">
      <c r="A129" t="s">
        <v>430</v>
      </c>
      <c r="B129">
        <v>477</v>
      </c>
      <c r="C129" t="s">
        <v>194</v>
      </c>
      <c r="D129">
        <v>1090015413</v>
      </c>
      <c r="E129">
        <v>56590642</v>
      </c>
      <c r="F129" s="54">
        <f t="shared" si="1"/>
        <v>5.1917286054009221E-2</v>
      </c>
    </row>
    <row r="130" spans="1:6" x14ac:dyDescent="0.35">
      <c r="A130" t="s">
        <v>430</v>
      </c>
      <c r="B130">
        <v>478</v>
      </c>
      <c r="C130" t="s">
        <v>826</v>
      </c>
      <c r="D130">
        <v>8269652</v>
      </c>
      <c r="E130">
        <v>837287</v>
      </c>
      <c r="F130" s="54">
        <f t="shared" si="1"/>
        <v>0.1012481540940296</v>
      </c>
    </row>
    <row r="131" spans="1:6" x14ac:dyDescent="0.35">
      <c r="A131" t="s">
        <v>430</v>
      </c>
      <c r="B131">
        <v>479</v>
      </c>
      <c r="C131" t="s">
        <v>191</v>
      </c>
      <c r="D131">
        <v>58638728</v>
      </c>
      <c r="E131">
        <v>4834042</v>
      </c>
      <c r="F131" s="54">
        <f t="shared" ref="F131:F194" si="2">E131/D131</f>
        <v>8.2437702263937235E-2</v>
      </c>
    </row>
    <row r="132" spans="1:6" x14ac:dyDescent="0.35">
      <c r="A132" t="s">
        <v>451</v>
      </c>
      <c r="B132">
        <v>491</v>
      </c>
      <c r="C132" t="s">
        <v>200</v>
      </c>
      <c r="D132">
        <v>33839419</v>
      </c>
      <c r="E132">
        <v>37345</v>
      </c>
      <c r="F132" s="54">
        <f t="shared" si="2"/>
        <v>1.1035945977677689E-3</v>
      </c>
    </row>
    <row r="133" spans="1:6" x14ac:dyDescent="0.35">
      <c r="A133" t="s">
        <v>451</v>
      </c>
      <c r="B133">
        <v>492</v>
      </c>
      <c r="C133" t="s">
        <v>199</v>
      </c>
      <c r="D133">
        <v>2656619797</v>
      </c>
      <c r="E133">
        <v>83914957</v>
      </c>
      <c r="F133" s="54">
        <f t="shared" si="2"/>
        <v>3.1587115738112521E-2</v>
      </c>
    </row>
    <row r="134" spans="1:6" x14ac:dyDescent="0.35">
      <c r="A134" t="s">
        <v>451</v>
      </c>
      <c r="B134">
        <v>493</v>
      </c>
      <c r="C134" t="s">
        <v>827</v>
      </c>
      <c r="D134">
        <v>221130504</v>
      </c>
      <c r="E134">
        <v>19440</v>
      </c>
      <c r="F134" s="54">
        <f t="shared" si="2"/>
        <v>8.7911887543113459E-5</v>
      </c>
    </row>
    <row r="135" spans="1:6" x14ac:dyDescent="0.35">
      <c r="A135" t="s">
        <v>451</v>
      </c>
      <c r="B135">
        <v>501</v>
      </c>
      <c r="C135" t="s">
        <v>828</v>
      </c>
      <c r="D135">
        <v>13795867</v>
      </c>
      <c r="E135">
        <v>47395</v>
      </c>
      <c r="F135" s="54">
        <f t="shared" si="2"/>
        <v>3.4354491819905192E-3</v>
      </c>
    </row>
    <row r="136" spans="1:6" x14ac:dyDescent="0.35">
      <c r="A136" t="s">
        <v>451</v>
      </c>
      <c r="B136">
        <v>502</v>
      </c>
      <c r="C136" t="s">
        <v>202</v>
      </c>
      <c r="D136">
        <v>7556463</v>
      </c>
      <c r="E136">
        <v>474796</v>
      </c>
      <c r="F136" s="54">
        <f t="shared" si="2"/>
        <v>6.2833100618635992E-2</v>
      </c>
    </row>
    <row r="137" spans="1:6" x14ac:dyDescent="0.35">
      <c r="A137" t="s">
        <v>451</v>
      </c>
      <c r="B137">
        <v>511</v>
      </c>
      <c r="C137" t="s">
        <v>829</v>
      </c>
      <c r="D137">
        <v>220913234</v>
      </c>
      <c r="E137">
        <v>139493</v>
      </c>
      <c r="F137" s="54">
        <f t="shared" si="2"/>
        <v>6.3143795178880044E-4</v>
      </c>
    </row>
    <row r="138" spans="1:6" x14ac:dyDescent="0.35">
      <c r="A138" t="s">
        <v>451</v>
      </c>
      <c r="B138">
        <v>512</v>
      </c>
      <c r="C138" t="s">
        <v>830</v>
      </c>
      <c r="D138">
        <v>10680097</v>
      </c>
      <c r="E138">
        <v>197839</v>
      </c>
      <c r="F138" s="54">
        <f t="shared" si="2"/>
        <v>1.8524082693256439E-2</v>
      </c>
    </row>
    <row r="139" spans="1:6" x14ac:dyDescent="0.35">
      <c r="A139" t="s">
        <v>451</v>
      </c>
      <c r="B139">
        <v>521</v>
      </c>
      <c r="C139" t="s">
        <v>831</v>
      </c>
      <c r="D139">
        <v>52069970</v>
      </c>
      <c r="E139">
        <v>6266173</v>
      </c>
      <c r="F139" s="54">
        <f t="shared" si="2"/>
        <v>0.12034139831461398</v>
      </c>
    </row>
    <row r="140" spans="1:6" x14ac:dyDescent="0.35">
      <c r="A140" t="s">
        <v>451</v>
      </c>
      <c r="B140">
        <v>522</v>
      </c>
      <c r="C140" t="s">
        <v>832</v>
      </c>
      <c r="D140">
        <v>76496663</v>
      </c>
      <c r="E140">
        <v>1667317</v>
      </c>
      <c r="F140" s="54">
        <f t="shared" si="2"/>
        <v>2.1795944223083299E-2</v>
      </c>
    </row>
    <row r="141" spans="1:6" x14ac:dyDescent="0.35">
      <c r="A141" t="s">
        <v>451</v>
      </c>
      <c r="B141">
        <v>523</v>
      </c>
      <c r="C141" t="s">
        <v>833</v>
      </c>
      <c r="D141">
        <v>299300030</v>
      </c>
      <c r="E141">
        <v>20659067</v>
      </c>
      <c r="F141" s="54">
        <f t="shared" si="2"/>
        <v>6.9024607180961525E-2</v>
      </c>
    </row>
    <row r="142" spans="1:6" x14ac:dyDescent="0.35">
      <c r="A142" t="s">
        <v>451</v>
      </c>
      <c r="B142">
        <v>524</v>
      </c>
      <c r="C142" t="s">
        <v>208</v>
      </c>
      <c r="D142">
        <v>34188254</v>
      </c>
      <c r="E142">
        <v>660578</v>
      </c>
      <c r="F142" s="54">
        <f t="shared" si="2"/>
        <v>1.9321782270600892E-2</v>
      </c>
    </row>
    <row r="143" spans="1:6" x14ac:dyDescent="0.35">
      <c r="A143" t="s">
        <v>451</v>
      </c>
      <c r="B143">
        <v>530</v>
      </c>
      <c r="C143" t="s">
        <v>834</v>
      </c>
      <c r="D143">
        <v>42782639</v>
      </c>
      <c r="E143">
        <v>2478969</v>
      </c>
      <c r="F143" s="54">
        <f t="shared" si="2"/>
        <v>5.7943340054361768E-2</v>
      </c>
    </row>
    <row r="144" spans="1:6" x14ac:dyDescent="0.35">
      <c r="A144" t="s">
        <v>464</v>
      </c>
      <c r="B144">
        <v>551</v>
      </c>
      <c r="C144" t="s">
        <v>211</v>
      </c>
      <c r="D144">
        <v>125898001</v>
      </c>
      <c r="E144">
        <v>6779313</v>
      </c>
      <c r="F144" s="54">
        <f t="shared" si="2"/>
        <v>5.384766196565742E-2</v>
      </c>
    </row>
    <row r="145" spans="1:6" x14ac:dyDescent="0.35">
      <c r="A145" t="s">
        <v>464</v>
      </c>
      <c r="B145">
        <v>552</v>
      </c>
      <c r="C145" t="s">
        <v>212</v>
      </c>
      <c r="D145">
        <v>2344011</v>
      </c>
      <c r="E145">
        <v>59043</v>
      </c>
      <c r="F145" s="54">
        <f t="shared" si="2"/>
        <v>2.5188874966883688E-2</v>
      </c>
    </row>
    <row r="146" spans="1:6" x14ac:dyDescent="0.35">
      <c r="A146" t="s">
        <v>464</v>
      </c>
      <c r="B146">
        <v>561</v>
      </c>
      <c r="C146" t="s">
        <v>214</v>
      </c>
      <c r="D146">
        <v>247044411</v>
      </c>
      <c r="E146">
        <v>14428031</v>
      </c>
      <c r="F146" s="54">
        <f t="shared" si="2"/>
        <v>5.8402580093180091E-2</v>
      </c>
    </row>
    <row r="147" spans="1:6" x14ac:dyDescent="0.35">
      <c r="A147" t="s">
        <v>464</v>
      </c>
      <c r="B147">
        <v>562</v>
      </c>
      <c r="C147" t="s">
        <v>835</v>
      </c>
      <c r="D147">
        <v>78014672</v>
      </c>
      <c r="E147">
        <v>1584846</v>
      </c>
      <c r="F147" s="54">
        <f t="shared" si="2"/>
        <v>2.0314717211142027E-2</v>
      </c>
    </row>
    <row r="148" spans="1:6" x14ac:dyDescent="0.35">
      <c r="A148" t="s">
        <v>451</v>
      </c>
      <c r="B148">
        <v>581</v>
      </c>
      <c r="C148" t="s">
        <v>836</v>
      </c>
      <c r="D148">
        <v>9796481</v>
      </c>
      <c r="E148">
        <v>932949</v>
      </c>
      <c r="F148" s="54">
        <f t="shared" si="2"/>
        <v>9.5233073998714432E-2</v>
      </c>
    </row>
    <row r="149" spans="1:6" x14ac:dyDescent="0.35">
      <c r="A149" t="s">
        <v>451</v>
      </c>
      <c r="B149">
        <v>591</v>
      </c>
      <c r="C149" t="s">
        <v>837</v>
      </c>
      <c r="D149">
        <v>7637680</v>
      </c>
      <c r="E149">
        <v>223604</v>
      </c>
      <c r="F149" s="54">
        <f t="shared" si="2"/>
        <v>2.9276429491678101E-2</v>
      </c>
    </row>
    <row r="150" spans="1:6" x14ac:dyDescent="0.35">
      <c r="A150" t="s">
        <v>451</v>
      </c>
      <c r="B150">
        <v>592</v>
      </c>
      <c r="C150" t="s">
        <v>838</v>
      </c>
      <c r="D150">
        <v>1963886</v>
      </c>
      <c r="E150">
        <v>19310</v>
      </c>
      <c r="F150" s="54">
        <f t="shared" si="2"/>
        <v>9.8325462883283449E-3</v>
      </c>
    </row>
    <row r="151" spans="1:6" x14ac:dyDescent="0.35">
      <c r="A151" t="s">
        <v>451</v>
      </c>
      <c r="B151">
        <v>601</v>
      </c>
      <c r="C151" t="s">
        <v>839</v>
      </c>
      <c r="D151">
        <v>4548606</v>
      </c>
      <c r="E151">
        <v>302420</v>
      </c>
      <c r="F151" s="54">
        <f t="shared" si="2"/>
        <v>6.6486303715907691E-2</v>
      </c>
    </row>
    <row r="152" spans="1:6" x14ac:dyDescent="0.35">
      <c r="A152" t="s">
        <v>451</v>
      </c>
      <c r="B152">
        <v>602</v>
      </c>
      <c r="C152" t="s">
        <v>840</v>
      </c>
      <c r="D152">
        <v>78545662</v>
      </c>
      <c r="E152">
        <v>362312</v>
      </c>
      <c r="F152" s="54">
        <f t="shared" si="2"/>
        <v>4.6127563352894013E-3</v>
      </c>
    </row>
    <row r="153" spans="1:6" x14ac:dyDescent="0.35">
      <c r="A153" t="s">
        <v>451</v>
      </c>
      <c r="B153">
        <v>611</v>
      </c>
      <c r="C153" t="s">
        <v>841</v>
      </c>
      <c r="D153">
        <v>638655674</v>
      </c>
      <c r="E153">
        <v>27548</v>
      </c>
      <c r="F153" s="54">
        <f t="shared" si="2"/>
        <v>4.3134354115203554E-5</v>
      </c>
    </row>
    <row r="154" spans="1:6" x14ac:dyDescent="0.35">
      <c r="A154" t="s">
        <v>451</v>
      </c>
      <c r="B154">
        <v>612</v>
      </c>
      <c r="C154" t="s">
        <v>842</v>
      </c>
      <c r="D154">
        <v>142143508</v>
      </c>
      <c r="E154">
        <v>28918</v>
      </c>
      <c r="F154" s="54">
        <f t="shared" si="2"/>
        <v>2.0344228453964989E-4</v>
      </c>
    </row>
    <row r="155" spans="1:6" x14ac:dyDescent="0.35">
      <c r="A155" t="s">
        <v>451</v>
      </c>
      <c r="B155">
        <v>613</v>
      </c>
      <c r="C155" t="s">
        <v>843</v>
      </c>
      <c r="D155">
        <v>1658277</v>
      </c>
      <c r="E155">
        <v>25726</v>
      </c>
      <c r="F155" s="54">
        <f t="shared" si="2"/>
        <v>1.5513692826952313E-2</v>
      </c>
    </row>
    <row r="156" spans="1:6" x14ac:dyDescent="0.35">
      <c r="A156" t="s">
        <v>451</v>
      </c>
      <c r="B156">
        <v>614</v>
      </c>
      <c r="C156" t="s">
        <v>844</v>
      </c>
      <c r="D156">
        <v>37203964</v>
      </c>
      <c r="E156">
        <v>402401</v>
      </c>
      <c r="F156" s="54">
        <f t="shared" si="2"/>
        <v>1.0816078630760959E-2</v>
      </c>
    </row>
    <row r="157" spans="1:6" x14ac:dyDescent="0.35">
      <c r="A157" t="s">
        <v>451</v>
      </c>
      <c r="B157">
        <v>619</v>
      </c>
      <c r="C157" t="s">
        <v>223</v>
      </c>
      <c r="D157">
        <v>112346962</v>
      </c>
      <c r="E157">
        <v>2692830</v>
      </c>
      <c r="F157" s="54">
        <f t="shared" si="2"/>
        <v>2.396887242932301E-2</v>
      </c>
    </row>
    <row r="158" spans="1:6" x14ac:dyDescent="0.35">
      <c r="A158" t="s">
        <v>451</v>
      </c>
      <c r="B158">
        <v>620</v>
      </c>
      <c r="C158" t="s">
        <v>845</v>
      </c>
      <c r="D158">
        <v>727226030</v>
      </c>
      <c r="E158">
        <v>4975623</v>
      </c>
      <c r="F158" s="54">
        <f t="shared" si="2"/>
        <v>6.8419209361909117E-3</v>
      </c>
    </row>
    <row r="159" spans="1:6" x14ac:dyDescent="0.35">
      <c r="A159" t="s">
        <v>451</v>
      </c>
      <c r="B159">
        <v>631</v>
      </c>
      <c r="C159" t="s">
        <v>226</v>
      </c>
      <c r="D159">
        <v>388805149</v>
      </c>
      <c r="E159">
        <v>615113</v>
      </c>
      <c r="F159" s="54">
        <f t="shared" si="2"/>
        <v>1.5820598096040132E-3</v>
      </c>
    </row>
    <row r="160" spans="1:6" x14ac:dyDescent="0.35">
      <c r="A160" t="s">
        <v>451</v>
      </c>
      <c r="B160">
        <v>639</v>
      </c>
      <c r="C160" t="s">
        <v>846</v>
      </c>
      <c r="D160">
        <v>6059468</v>
      </c>
      <c r="E160">
        <v>479497</v>
      </c>
      <c r="F160" s="54">
        <f t="shared" si="2"/>
        <v>7.9131864381493555E-2</v>
      </c>
    </row>
    <row r="161" spans="1:6" x14ac:dyDescent="0.35">
      <c r="A161" t="s">
        <v>482</v>
      </c>
      <c r="B161">
        <v>641</v>
      </c>
      <c r="C161" t="s">
        <v>847</v>
      </c>
      <c r="D161">
        <v>4329356110</v>
      </c>
      <c r="E161">
        <v>13864</v>
      </c>
      <c r="F161" s="54">
        <f t="shared" si="2"/>
        <v>3.2023237746547949E-6</v>
      </c>
    </row>
    <row r="162" spans="1:6" x14ac:dyDescent="0.35">
      <c r="A162" t="s">
        <v>482</v>
      </c>
      <c r="B162">
        <v>642</v>
      </c>
      <c r="C162" t="s">
        <v>229</v>
      </c>
      <c r="D162">
        <v>198478420</v>
      </c>
      <c r="E162">
        <v>7020</v>
      </c>
      <c r="F162" s="54">
        <f t="shared" si="2"/>
        <v>3.5369084457645318E-5</v>
      </c>
    </row>
    <row r="163" spans="1:6" x14ac:dyDescent="0.35">
      <c r="A163" t="s">
        <v>482</v>
      </c>
      <c r="B163">
        <v>643</v>
      </c>
      <c r="C163" t="s">
        <v>848</v>
      </c>
      <c r="D163">
        <v>402734784</v>
      </c>
      <c r="E163">
        <v>2997341</v>
      </c>
      <c r="F163" s="54">
        <f t="shared" si="2"/>
        <v>7.4424686396097339E-3</v>
      </c>
    </row>
    <row r="164" spans="1:6" x14ac:dyDescent="0.35">
      <c r="A164" t="s">
        <v>482</v>
      </c>
      <c r="B164">
        <v>649</v>
      </c>
      <c r="C164" t="s">
        <v>230</v>
      </c>
      <c r="D164">
        <v>2636107817</v>
      </c>
      <c r="E164">
        <v>5879832</v>
      </c>
      <c r="F164" s="54">
        <f t="shared" si="2"/>
        <v>2.2304975396232056E-3</v>
      </c>
    </row>
    <row r="165" spans="1:6" x14ac:dyDescent="0.35">
      <c r="A165" t="s">
        <v>482</v>
      </c>
      <c r="B165">
        <v>651</v>
      </c>
      <c r="C165" t="s">
        <v>233</v>
      </c>
      <c r="D165">
        <v>67617651</v>
      </c>
      <c r="E165">
        <v>386275</v>
      </c>
      <c r="F165" s="54">
        <f t="shared" si="2"/>
        <v>5.7126355956967512E-3</v>
      </c>
    </row>
    <row r="166" spans="1:6" x14ac:dyDescent="0.35">
      <c r="A166" t="s">
        <v>482</v>
      </c>
      <c r="B166">
        <v>652</v>
      </c>
      <c r="C166" t="s">
        <v>234</v>
      </c>
      <c r="D166">
        <v>642938</v>
      </c>
      <c r="E166">
        <v>3003</v>
      </c>
      <c r="F166" s="54">
        <f t="shared" si="2"/>
        <v>4.6707458572988374E-3</v>
      </c>
    </row>
    <row r="167" spans="1:6" x14ac:dyDescent="0.35">
      <c r="A167" t="s">
        <v>482</v>
      </c>
      <c r="B167">
        <v>653</v>
      </c>
      <c r="C167" t="s">
        <v>849</v>
      </c>
      <c r="D167">
        <v>1612159</v>
      </c>
      <c r="E167">
        <v>8910</v>
      </c>
      <c r="F167" s="54">
        <f t="shared" si="2"/>
        <v>5.5267501530556233E-3</v>
      </c>
    </row>
    <row r="168" spans="1:6" x14ac:dyDescent="0.35">
      <c r="A168" t="s">
        <v>482</v>
      </c>
      <c r="B168">
        <v>661</v>
      </c>
      <c r="C168" t="s">
        <v>236</v>
      </c>
      <c r="D168">
        <v>218796610</v>
      </c>
      <c r="E168">
        <v>598017</v>
      </c>
      <c r="F168" s="54">
        <f t="shared" si="2"/>
        <v>2.7332096233118053E-3</v>
      </c>
    </row>
    <row r="169" spans="1:6" x14ac:dyDescent="0.35">
      <c r="A169" t="s">
        <v>482</v>
      </c>
      <c r="B169">
        <v>662</v>
      </c>
      <c r="C169" t="s">
        <v>237</v>
      </c>
      <c r="D169">
        <v>9405068</v>
      </c>
      <c r="E169">
        <v>606997</v>
      </c>
      <c r="F169" s="54">
        <f t="shared" si="2"/>
        <v>6.4539352612867876E-2</v>
      </c>
    </row>
    <row r="170" spans="1:6" x14ac:dyDescent="0.35">
      <c r="A170" t="s">
        <v>482</v>
      </c>
      <c r="B170">
        <v>663</v>
      </c>
      <c r="C170" t="s">
        <v>850</v>
      </c>
      <c r="D170">
        <v>7571451</v>
      </c>
      <c r="E170">
        <v>445107</v>
      </c>
      <c r="F170" s="54">
        <f t="shared" si="2"/>
        <v>5.8787542836901407E-2</v>
      </c>
    </row>
    <row r="171" spans="1:6" x14ac:dyDescent="0.35">
      <c r="A171" t="s">
        <v>493</v>
      </c>
      <c r="B171">
        <v>681</v>
      </c>
      <c r="C171" t="s">
        <v>239</v>
      </c>
      <c r="D171">
        <v>139949609</v>
      </c>
      <c r="E171">
        <v>3389603</v>
      </c>
      <c r="F171" s="54">
        <f t="shared" si="2"/>
        <v>2.4220167703362428E-2</v>
      </c>
    </row>
    <row r="172" spans="1:6" x14ac:dyDescent="0.35">
      <c r="A172" t="s">
        <v>493</v>
      </c>
      <c r="B172">
        <v>682</v>
      </c>
      <c r="C172" t="s">
        <v>851</v>
      </c>
      <c r="D172">
        <v>36771354</v>
      </c>
      <c r="E172">
        <v>500373</v>
      </c>
      <c r="F172" s="54">
        <f t="shared" si="2"/>
        <v>1.3607684938661763E-2</v>
      </c>
    </row>
    <row r="173" spans="1:6" x14ac:dyDescent="0.35">
      <c r="A173" t="s">
        <v>493</v>
      </c>
      <c r="B173">
        <v>691</v>
      </c>
      <c r="C173" t="s">
        <v>852</v>
      </c>
      <c r="D173">
        <v>62582886</v>
      </c>
      <c r="E173">
        <v>2300828</v>
      </c>
      <c r="F173" s="54">
        <f t="shared" si="2"/>
        <v>3.6764491813304996E-2</v>
      </c>
    </row>
    <row r="174" spans="1:6" x14ac:dyDescent="0.35">
      <c r="A174" t="s">
        <v>493</v>
      </c>
      <c r="B174">
        <v>692</v>
      </c>
      <c r="C174" t="s">
        <v>853</v>
      </c>
      <c r="D174">
        <v>58165412</v>
      </c>
      <c r="E174">
        <v>1614091</v>
      </c>
      <c r="F174" s="54">
        <f t="shared" si="2"/>
        <v>2.7750014046148252E-2</v>
      </c>
    </row>
    <row r="175" spans="1:6" x14ac:dyDescent="0.35">
      <c r="A175" t="s">
        <v>493</v>
      </c>
      <c r="B175">
        <v>702</v>
      </c>
      <c r="C175" t="s">
        <v>854</v>
      </c>
      <c r="D175">
        <v>262431138</v>
      </c>
      <c r="E175">
        <v>19810573</v>
      </c>
      <c r="F175" s="54">
        <f t="shared" si="2"/>
        <v>7.5488652569879106E-2</v>
      </c>
    </row>
    <row r="176" spans="1:6" x14ac:dyDescent="0.35">
      <c r="A176" t="s">
        <v>493</v>
      </c>
      <c r="B176">
        <v>711</v>
      </c>
      <c r="C176" t="s">
        <v>855</v>
      </c>
      <c r="D176">
        <v>132783204</v>
      </c>
      <c r="E176">
        <v>6039622</v>
      </c>
      <c r="F176" s="54">
        <f t="shared" si="2"/>
        <v>4.5484834060789799E-2</v>
      </c>
    </row>
    <row r="177" spans="1:6" x14ac:dyDescent="0.35">
      <c r="A177" t="s">
        <v>493</v>
      </c>
      <c r="B177">
        <v>712</v>
      </c>
      <c r="C177" t="s">
        <v>856</v>
      </c>
      <c r="D177">
        <v>8306236</v>
      </c>
      <c r="E177">
        <v>822399</v>
      </c>
      <c r="F177" s="54">
        <f t="shared" si="2"/>
        <v>9.9009828278416367E-2</v>
      </c>
    </row>
    <row r="178" spans="1:6" x14ac:dyDescent="0.35">
      <c r="A178" t="s">
        <v>493</v>
      </c>
      <c r="B178">
        <v>721</v>
      </c>
      <c r="C178" t="s">
        <v>857</v>
      </c>
      <c r="D178">
        <v>28051030</v>
      </c>
      <c r="E178">
        <v>137161</v>
      </c>
      <c r="F178" s="54">
        <f t="shared" si="2"/>
        <v>4.8896956724940226E-3</v>
      </c>
    </row>
    <row r="179" spans="1:6" x14ac:dyDescent="0.35">
      <c r="A179" t="s">
        <v>493</v>
      </c>
      <c r="B179">
        <v>722</v>
      </c>
      <c r="C179" t="s">
        <v>858</v>
      </c>
      <c r="D179">
        <v>6301156</v>
      </c>
      <c r="E179">
        <v>11779</v>
      </c>
      <c r="F179" s="54">
        <f t="shared" si="2"/>
        <v>1.8693395307146816E-3</v>
      </c>
    </row>
    <row r="180" spans="1:6" x14ac:dyDescent="0.35">
      <c r="A180" t="s">
        <v>493</v>
      </c>
      <c r="B180">
        <v>731</v>
      </c>
      <c r="C180" t="s">
        <v>247</v>
      </c>
      <c r="D180">
        <v>24119840</v>
      </c>
      <c r="E180">
        <v>1170695</v>
      </c>
      <c r="F180" s="54">
        <f t="shared" si="2"/>
        <v>4.8536598916079046E-2</v>
      </c>
    </row>
    <row r="181" spans="1:6" x14ac:dyDescent="0.35">
      <c r="A181" t="s">
        <v>493</v>
      </c>
      <c r="B181">
        <v>732</v>
      </c>
      <c r="C181" t="s">
        <v>859</v>
      </c>
      <c r="D181">
        <v>43858248</v>
      </c>
      <c r="E181">
        <v>11234</v>
      </c>
      <c r="F181" s="54">
        <f t="shared" si="2"/>
        <v>2.5614338265404492E-4</v>
      </c>
    </row>
    <row r="182" spans="1:6" x14ac:dyDescent="0.35">
      <c r="A182" t="s">
        <v>493</v>
      </c>
      <c r="B182">
        <v>741</v>
      </c>
      <c r="C182" t="s">
        <v>860</v>
      </c>
      <c r="D182">
        <v>13648844</v>
      </c>
      <c r="E182">
        <v>1138304</v>
      </c>
      <c r="F182" s="54">
        <f t="shared" si="2"/>
        <v>8.3399297405699707E-2</v>
      </c>
    </row>
    <row r="183" spans="1:6" x14ac:dyDescent="0.35">
      <c r="A183" t="s">
        <v>493</v>
      </c>
      <c r="B183">
        <v>742</v>
      </c>
      <c r="C183" t="s">
        <v>861</v>
      </c>
      <c r="D183">
        <v>2185406</v>
      </c>
      <c r="E183">
        <v>62447</v>
      </c>
      <c r="F183" s="54">
        <f t="shared" si="2"/>
        <v>2.857455319515001E-2</v>
      </c>
    </row>
    <row r="184" spans="1:6" x14ac:dyDescent="0.35">
      <c r="A184" t="s">
        <v>493</v>
      </c>
      <c r="B184">
        <v>749</v>
      </c>
      <c r="C184" t="s">
        <v>862</v>
      </c>
      <c r="D184">
        <v>34690305</v>
      </c>
      <c r="E184">
        <v>3706392</v>
      </c>
      <c r="F184" s="54">
        <f t="shared" si="2"/>
        <v>0.10684230075232835</v>
      </c>
    </row>
    <row r="185" spans="1:6" x14ac:dyDescent="0.35">
      <c r="A185" t="s">
        <v>493</v>
      </c>
      <c r="B185">
        <v>750</v>
      </c>
      <c r="C185" t="s">
        <v>252</v>
      </c>
      <c r="D185">
        <v>24935921</v>
      </c>
      <c r="E185">
        <v>228361</v>
      </c>
      <c r="F185" s="54">
        <f t="shared" si="2"/>
        <v>9.1579131967894824E-3</v>
      </c>
    </row>
    <row r="186" spans="1:6" x14ac:dyDescent="0.35">
      <c r="A186" t="s">
        <v>493</v>
      </c>
      <c r="B186">
        <v>771</v>
      </c>
      <c r="C186" t="s">
        <v>863</v>
      </c>
      <c r="D186">
        <v>155631611</v>
      </c>
      <c r="E186">
        <v>5073868</v>
      </c>
      <c r="F186" s="54">
        <f t="shared" si="2"/>
        <v>3.2601782937272297E-2</v>
      </c>
    </row>
    <row r="187" spans="1:6" x14ac:dyDescent="0.35">
      <c r="A187" t="s">
        <v>493</v>
      </c>
      <c r="B187">
        <v>772</v>
      </c>
      <c r="C187" t="s">
        <v>864</v>
      </c>
      <c r="D187">
        <v>951838</v>
      </c>
      <c r="E187">
        <v>24928</v>
      </c>
      <c r="F187" s="54">
        <f t="shared" si="2"/>
        <v>2.6189330537339336E-2</v>
      </c>
    </row>
    <row r="188" spans="1:6" x14ac:dyDescent="0.35">
      <c r="A188" t="s">
        <v>493</v>
      </c>
      <c r="B188">
        <v>773</v>
      </c>
      <c r="C188" t="s">
        <v>254</v>
      </c>
      <c r="D188">
        <v>56378555</v>
      </c>
      <c r="E188">
        <v>1145864</v>
      </c>
      <c r="F188" s="54">
        <f t="shared" si="2"/>
        <v>2.0324465570286433E-2</v>
      </c>
    </row>
    <row r="189" spans="1:6" x14ac:dyDescent="0.35">
      <c r="A189" t="s">
        <v>493</v>
      </c>
      <c r="B189">
        <v>774</v>
      </c>
      <c r="C189" t="s">
        <v>865</v>
      </c>
      <c r="D189">
        <v>8711476</v>
      </c>
      <c r="E189">
        <v>368704</v>
      </c>
      <c r="F189" s="54">
        <f t="shared" si="2"/>
        <v>4.2323941430820682E-2</v>
      </c>
    </row>
    <row r="190" spans="1:6" x14ac:dyDescent="0.35">
      <c r="A190" t="s">
        <v>493</v>
      </c>
      <c r="B190">
        <v>780</v>
      </c>
      <c r="C190" t="s">
        <v>866</v>
      </c>
      <c r="D190">
        <v>21768465</v>
      </c>
      <c r="E190">
        <v>280352</v>
      </c>
      <c r="F190" s="54">
        <f t="shared" si="2"/>
        <v>1.2878813457908034E-2</v>
      </c>
    </row>
    <row r="191" spans="1:6" x14ac:dyDescent="0.35">
      <c r="A191" t="s">
        <v>493</v>
      </c>
      <c r="B191">
        <v>791</v>
      </c>
      <c r="C191" t="s">
        <v>867</v>
      </c>
      <c r="D191">
        <v>112814906</v>
      </c>
      <c r="E191">
        <v>6232174</v>
      </c>
      <c r="F191" s="54">
        <f t="shared" si="2"/>
        <v>5.5242469465870053E-2</v>
      </c>
    </row>
    <row r="192" spans="1:6" x14ac:dyDescent="0.35">
      <c r="A192" t="s">
        <v>493</v>
      </c>
      <c r="B192">
        <v>801</v>
      </c>
      <c r="C192" t="s">
        <v>868</v>
      </c>
      <c r="D192">
        <v>62605812</v>
      </c>
      <c r="E192">
        <v>6686828</v>
      </c>
      <c r="F192" s="54">
        <f t="shared" si="2"/>
        <v>0.10680842219569008</v>
      </c>
    </row>
    <row r="193" spans="1:6" x14ac:dyDescent="0.35">
      <c r="A193" t="s">
        <v>493</v>
      </c>
      <c r="B193">
        <v>811</v>
      </c>
      <c r="C193" t="s">
        <v>261</v>
      </c>
      <c r="D193">
        <v>817214</v>
      </c>
      <c r="E193">
        <v>72670</v>
      </c>
      <c r="F193" s="54">
        <f t="shared" si="2"/>
        <v>8.8924076190569426E-2</v>
      </c>
    </row>
    <row r="194" spans="1:6" x14ac:dyDescent="0.35">
      <c r="A194" t="s">
        <v>493</v>
      </c>
      <c r="B194">
        <v>812</v>
      </c>
      <c r="C194" t="s">
        <v>260</v>
      </c>
      <c r="D194">
        <v>54707049</v>
      </c>
      <c r="E194">
        <v>2341308</v>
      </c>
      <c r="F194" s="54">
        <f t="shared" si="2"/>
        <v>4.2797190541204295E-2</v>
      </c>
    </row>
    <row r="195" spans="1:6" x14ac:dyDescent="0.35">
      <c r="A195" t="s">
        <v>493</v>
      </c>
      <c r="B195">
        <v>813</v>
      </c>
      <c r="C195" t="s">
        <v>869</v>
      </c>
      <c r="D195">
        <v>7130998</v>
      </c>
      <c r="E195">
        <v>277749</v>
      </c>
      <c r="F195" s="54">
        <f t="shared" ref="F195:F227" si="3">E195/D195</f>
        <v>3.8949527120888269E-2</v>
      </c>
    </row>
    <row r="196" spans="1:6" x14ac:dyDescent="0.35">
      <c r="A196" t="s">
        <v>493</v>
      </c>
      <c r="B196">
        <v>821</v>
      </c>
      <c r="C196" t="s">
        <v>870</v>
      </c>
      <c r="D196">
        <v>8752875</v>
      </c>
      <c r="E196">
        <v>994793</v>
      </c>
      <c r="F196" s="54">
        <f t="shared" si="3"/>
        <v>0.11365328534909958</v>
      </c>
    </row>
    <row r="197" spans="1:6" x14ac:dyDescent="0.35">
      <c r="A197" t="s">
        <v>493</v>
      </c>
      <c r="B197">
        <v>822</v>
      </c>
      <c r="C197" t="s">
        <v>264</v>
      </c>
      <c r="D197">
        <v>9596863</v>
      </c>
      <c r="E197">
        <v>430387</v>
      </c>
      <c r="F197" s="54">
        <f t="shared" si="3"/>
        <v>4.4846633738545603E-2</v>
      </c>
    </row>
    <row r="198" spans="1:6" x14ac:dyDescent="0.35">
      <c r="A198" t="s">
        <v>493</v>
      </c>
      <c r="B198">
        <v>823</v>
      </c>
      <c r="C198" t="s">
        <v>871</v>
      </c>
      <c r="D198">
        <v>3303853</v>
      </c>
      <c r="E198">
        <v>244496</v>
      </c>
      <c r="F198" s="54">
        <f t="shared" si="3"/>
        <v>7.4003292519370559E-2</v>
      </c>
    </row>
    <row r="199" spans="1:6" x14ac:dyDescent="0.35">
      <c r="A199" t="s">
        <v>493</v>
      </c>
      <c r="B199">
        <v>829</v>
      </c>
      <c r="C199" t="s">
        <v>263</v>
      </c>
      <c r="D199">
        <v>639102783</v>
      </c>
      <c r="E199">
        <v>16558385</v>
      </c>
      <c r="F199" s="54">
        <f t="shared" si="3"/>
        <v>2.5908798147104922E-2</v>
      </c>
    </row>
    <row r="200" spans="1:6" x14ac:dyDescent="0.35">
      <c r="A200" t="s">
        <v>523</v>
      </c>
      <c r="B200">
        <v>841</v>
      </c>
      <c r="C200" t="s">
        <v>872</v>
      </c>
      <c r="D200">
        <v>1849867445</v>
      </c>
      <c r="E200">
        <v>1270190</v>
      </c>
      <c r="F200" s="54">
        <f t="shared" si="3"/>
        <v>6.8663838775756179E-4</v>
      </c>
    </row>
    <row r="201" spans="1:6" x14ac:dyDescent="0.35">
      <c r="A201" t="s">
        <v>523</v>
      </c>
      <c r="B201">
        <v>842</v>
      </c>
      <c r="C201" t="s">
        <v>873</v>
      </c>
      <c r="D201">
        <v>5442077</v>
      </c>
      <c r="E201">
        <v>420729</v>
      </c>
      <c r="F201" s="54">
        <f t="shared" si="3"/>
        <v>7.7310372491973187E-2</v>
      </c>
    </row>
    <row r="202" spans="1:6" x14ac:dyDescent="0.35">
      <c r="A202" t="s">
        <v>523</v>
      </c>
      <c r="B202">
        <v>843</v>
      </c>
      <c r="C202" t="s">
        <v>268</v>
      </c>
      <c r="D202">
        <v>2734222</v>
      </c>
      <c r="E202">
        <v>355644</v>
      </c>
      <c r="F202" s="54">
        <f t="shared" si="3"/>
        <v>0.13007136947914252</v>
      </c>
    </row>
    <row r="203" spans="1:6" x14ac:dyDescent="0.35">
      <c r="A203" t="s">
        <v>527</v>
      </c>
      <c r="B203">
        <v>851</v>
      </c>
      <c r="C203" t="s">
        <v>874</v>
      </c>
      <c r="D203">
        <v>37575122</v>
      </c>
      <c r="E203">
        <v>1085225</v>
      </c>
      <c r="F203" s="54">
        <f t="shared" si="3"/>
        <v>2.8881476419424533E-2</v>
      </c>
    </row>
    <row r="204" spans="1:6" x14ac:dyDescent="0.35">
      <c r="A204" t="s">
        <v>527</v>
      </c>
      <c r="B204">
        <v>852</v>
      </c>
      <c r="C204" t="s">
        <v>875</v>
      </c>
      <c r="D204">
        <v>7101318</v>
      </c>
      <c r="E204">
        <v>373198</v>
      </c>
      <c r="F204" s="54">
        <f t="shared" si="3"/>
        <v>5.2553342914653307E-2</v>
      </c>
    </row>
    <row r="205" spans="1:6" x14ac:dyDescent="0.35">
      <c r="A205" t="s">
        <v>527</v>
      </c>
      <c r="B205">
        <v>853</v>
      </c>
      <c r="C205" t="s">
        <v>876</v>
      </c>
      <c r="D205">
        <v>67542720</v>
      </c>
      <c r="E205">
        <v>109370</v>
      </c>
      <c r="F205" s="54">
        <f t="shared" si="3"/>
        <v>1.619271477370174E-3</v>
      </c>
    </row>
    <row r="206" spans="1:6" x14ac:dyDescent="0.35">
      <c r="A206" t="s">
        <v>527</v>
      </c>
      <c r="B206">
        <v>854</v>
      </c>
      <c r="C206" t="s">
        <v>877</v>
      </c>
      <c r="D206">
        <v>57327800</v>
      </c>
      <c r="E206">
        <v>3074621</v>
      </c>
      <c r="F206" s="54">
        <f t="shared" si="3"/>
        <v>5.3632286604404847E-2</v>
      </c>
    </row>
    <row r="207" spans="1:6" x14ac:dyDescent="0.35">
      <c r="A207" t="s">
        <v>527</v>
      </c>
      <c r="B207">
        <v>855</v>
      </c>
      <c r="C207" t="s">
        <v>878</v>
      </c>
      <c r="D207">
        <v>4706985</v>
      </c>
      <c r="E207">
        <v>259660</v>
      </c>
      <c r="F207" s="54">
        <f t="shared" si="3"/>
        <v>5.5164824192131479E-2</v>
      </c>
    </row>
    <row r="208" spans="1:6" x14ac:dyDescent="0.35">
      <c r="A208" t="s">
        <v>533</v>
      </c>
      <c r="B208">
        <v>861</v>
      </c>
      <c r="C208" t="s">
        <v>277</v>
      </c>
      <c r="D208">
        <v>219578957</v>
      </c>
      <c r="E208">
        <v>4528404</v>
      </c>
      <c r="F208" s="54">
        <f t="shared" si="3"/>
        <v>2.0623123735850516E-2</v>
      </c>
    </row>
    <row r="209" spans="1:6" x14ac:dyDescent="0.35">
      <c r="A209" t="s">
        <v>533</v>
      </c>
      <c r="B209">
        <v>862</v>
      </c>
      <c r="C209" t="s">
        <v>879</v>
      </c>
      <c r="D209">
        <v>48749773</v>
      </c>
      <c r="E209">
        <v>836020</v>
      </c>
      <c r="F209" s="54">
        <f t="shared" si="3"/>
        <v>1.71492080588765E-2</v>
      </c>
    </row>
    <row r="210" spans="1:6" x14ac:dyDescent="0.35">
      <c r="A210" t="s">
        <v>533</v>
      </c>
      <c r="B210">
        <v>863</v>
      </c>
      <c r="C210" t="s">
        <v>880</v>
      </c>
      <c r="D210">
        <v>82285847</v>
      </c>
      <c r="E210">
        <v>2435935</v>
      </c>
      <c r="F210" s="54">
        <f t="shared" si="3"/>
        <v>2.9603328990464181E-2</v>
      </c>
    </row>
    <row r="211" spans="1:6" x14ac:dyDescent="0.35">
      <c r="A211" t="s">
        <v>533</v>
      </c>
      <c r="B211">
        <v>864</v>
      </c>
      <c r="C211" t="s">
        <v>275</v>
      </c>
      <c r="D211">
        <v>27930983</v>
      </c>
      <c r="E211">
        <v>632372</v>
      </c>
      <c r="F211" s="54">
        <f t="shared" si="3"/>
        <v>2.2640520743577124E-2</v>
      </c>
    </row>
    <row r="212" spans="1:6" x14ac:dyDescent="0.35">
      <c r="A212" t="s">
        <v>533</v>
      </c>
      <c r="B212">
        <v>869</v>
      </c>
      <c r="C212" t="s">
        <v>279</v>
      </c>
      <c r="D212">
        <v>448127333</v>
      </c>
      <c r="E212">
        <v>11850448</v>
      </c>
      <c r="F212" s="54">
        <f t="shared" si="3"/>
        <v>2.6444376692371943E-2</v>
      </c>
    </row>
    <row r="213" spans="1:6" x14ac:dyDescent="0.35">
      <c r="A213" t="s">
        <v>533</v>
      </c>
      <c r="B213">
        <v>870</v>
      </c>
      <c r="C213" t="s">
        <v>280</v>
      </c>
      <c r="D213">
        <v>13246723</v>
      </c>
      <c r="E213">
        <v>504362</v>
      </c>
      <c r="F213" s="54">
        <f t="shared" si="3"/>
        <v>3.8074473211223633E-2</v>
      </c>
    </row>
    <row r="214" spans="1:6" x14ac:dyDescent="0.35">
      <c r="A214" t="s">
        <v>533</v>
      </c>
      <c r="B214">
        <v>880</v>
      </c>
      <c r="C214" t="s">
        <v>281</v>
      </c>
      <c r="D214">
        <v>3043454</v>
      </c>
      <c r="E214">
        <v>242029</v>
      </c>
      <c r="F214" s="54">
        <f t="shared" si="3"/>
        <v>7.9524448209172871E-2</v>
      </c>
    </row>
    <row r="215" spans="1:6" x14ac:dyDescent="0.35">
      <c r="A215" t="s">
        <v>533</v>
      </c>
      <c r="B215">
        <v>900</v>
      </c>
      <c r="C215" t="s">
        <v>881</v>
      </c>
      <c r="D215">
        <v>39261835</v>
      </c>
      <c r="E215">
        <v>1653617</v>
      </c>
      <c r="F215" s="54">
        <f t="shared" si="3"/>
        <v>4.2117669742129986E-2</v>
      </c>
    </row>
    <row r="216" spans="1:6" x14ac:dyDescent="0.35">
      <c r="A216" t="s">
        <v>533</v>
      </c>
      <c r="B216">
        <v>910</v>
      </c>
      <c r="C216" t="s">
        <v>283</v>
      </c>
      <c r="D216">
        <v>33125104</v>
      </c>
      <c r="E216">
        <v>997930</v>
      </c>
      <c r="F216" s="54">
        <f t="shared" si="3"/>
        <v>3.0126094094678164E-2</v>
      </c>
    </row>
    <row r="217" spans="1:6" x14ac:dyDescent="0.35">
      <c r="A217" t="s">
        <v>533</v>
      </c>
      <c r="B217">
        <v>920</v>
      </c>
      <c r="C217" t="s">
        <v>284</v>
      </c>
      <c r="D217">
        <v>9042362</v>
      </c>
      <c r="E217">
        <v>394815</v>
      </c>
      <c r="F217" s="54">
        <f t="shared" si="3"/>
        <v>4.3662817303708919E-2</v>
      </c>
    </row>
    <row r="218" spans="1:6" x14ac:dyDescent="0.35">
      <c r="A218" t="s">
        <v>533</v>
      </c>
      <c r="B218">
        <v>931</v>
      </c>
      <c r="C218" t="s">
        <v>882</v>
      </c>
      <c r="D218">
        <v>90303958</v>
      </c>
      <c r="E218">
        <v>1984933</v>
      </c>
      <c r="F218" s="54">
        <f t="shared" si="3"/>
        <v>2.1980575868003484E-2</v>
      </c>
    </row>
    <row r="219" spans="1:6" x14ac:dyDescent="0.35">
      <c r="A219" t="s">
        <v>533</v>
      </c>
      <c r="B219">
        <v>939</v>
      </c>
      <c r="C219" t="s">
        <v>286</v>
      </c>
      <c r="D219">
        <v>29590137</v>
      </c>
      <c r="E219">
        <v>746587</v>
      </c>
      <c r="F219" s="54">
        <f t="shared" si="3"/>
        <v>2.5230940971986714E-2</v>
      </c>
    </row>
    <row r="220" spans="1:6" x14ac:dyDescent="0.35">
      <c r="A220" t="s">
        <v>533</v>
      </c>
      <c r="B220">
        <v>941</v>
      </c>
      <c r="C220" t="s">
        <v>289</v>
      </c>
      <c r="D220">
        <v>14535092</v>
      </c>
      <c r="E220">
        <v>403797</v>
      </c>
      <c r="F220" s="54">
        <f t="shared" si="3"/>
        <v>2.778083551173945E-2</v>
      </c>
    </row>
    <row r="221" spans="1:6" x14ac:dyDescent="0.35">
      <c r="A221" t="s">
        <v>533</v>
      </c>
      <c r="B221">
        <v>942</v>
      </c>
      <c r="C221" t="s">
        <v>288</v>
      </c>
      <c r="D221">
        <v>17390881</v>
      </c>
      <c r="E221">
        <v>82071</v>
      </c>
      <c r="F221" s="54">
        <f t="shared" si="3"/>
        <v>4.7191973770621511E-3</v>
      </c>
    </row>
    <row r="222" spans="1:6" x14ac:dyDescent="0.35">
      <c r="A222" t="s">
        <v>533</v>
      </c>
      <c r="B222">
        <v>949</v>
      </c>
      <c r="C222" t="s">
        <v>287</v>
      </c>
      <c r="D222">
        <v>162080412</v>
      </c>
      <c r="E222">
        <v>6050776</v>
      </c>
      <c r="F222" s="54">
        <f t="shared" si="3"/>
        <v>3.7331938667579397E-2</v>
      </c>
    </row>
    <row r="223" spans="1:6" x14ac:dyDescent="0.35">
      <c r="A223" t="s">
        <v>533</v>
      </c>
      <c r="B223">
        <v>951</v>
      </c>
      <c r="C223" t="s">
        <v>883</v>
      </c>
      <c r="D223">
        <v>7368521</v>
      </c>
      <c r="E223">
        <v>389658</v>
      </c>
      <c r="F223" s="54">
        <f t="shared" si="3"/>
        <v>5.288143984389812E-2</v>
      </c>
    </row>
    <row r="224" spans="1:6" x14ac:dyDescent="0.35">
      <c r="A224" t="s">
        <v>533</v>
      </c>
      <c r="B224">
        <v>952</v>
      </c>
      <c r="C224" t="s">
        <v>884</v>
      </c>
      <c r="D224">
        <v>5469493</v>
      </c>
      <c r="E224">
        <v>547965</v>
      </c>
      <c r="F224" s="54">
        <f t="shared" si="3"/>
        <v>0.1001857027698911</v>
      </c>
    </row>
    <row r="225" spans="1:6" x14ac:dyDescent="0.35">
      <c r="A225" t="s">
        <v>533</v>
      </c>
      <c r="B225">
        <v>960</v>
      </c>
      <c r="C225" t="s">
        <v>292</v>
      </c>
      <c r="D225">
        <v>1223113521</v>
      </c>
      <c r="E225">
        <v>92534123</v>
      </c>
      <c r="F225" s="54">
        <f t="shared" si="3"/>
        <v>7.5654566327044967E-2</v>
      </c>
    </row>
    <row r="226" spans="1:6" x14ac:dyDescent="0.35">
      <c r="A226" t="s">
        <v>533</v>
      </c>
      <c r="B226">
        <v>999</v>
      </c>
      <c r="C226" t="s">
        <v>293</v>
      </c>
      <c r="D226">
        <v>498297839</v>
      </c>
      <c r="E226">
        <v>55440768</v>
      </c>
      <c r="F226" s="54">
        <f t="shared" si="3"/>
        <v>0.11126030189346256</v>
      </c>
    </row>
    <row r="227" spans="1:6" x14ac:dyDescent="0.35">
      <c r="A227" t="s">
        <v>774</v>
      </c>
      <c r="B227" t="s">
        <v>71</v>
      </c>
      <c r="C227" t="s">
        <v>71</v>
      </c>
      <c r="D227">
        <v>13948320352</v>
      </c>
      <c r="E227">
        <v>3410208077</v>
      </c>
      <c r="F227" s="54">
        <f t="shared" si="3"/>
        <v>0.24448879800147566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BA3F-A84F-46B4-965B-BF0919CC2EB8}">
  <dimension ref="A1:K233"/>
  <sheetViews>
    <sheetView zoomScale="60" zoomScaleNormal="60" workbookViewId="0">
      <selection activeCell="D17" sqref="D17"/>
    </sheetView>
  </sheetViews>
  <sheetFormatPr baseColWidth="10" defaultColWidth="11.453125" defaultRowHeight="15" x14ac:dyDescent="0.4"/>
  <cols>
    <col min="1" max="1" width="17.81640625" style="12" customWidth="1"/>
    <col min="2" max="2" width="11.453125" style="10"/>
    <col min="3" max="3" width="11.453125" style="11" customWidth="1"/>
    <col min="4" max="4" width="44.26953125" style="11" customWidth="1"/>
    <col min="5" max="5" width="16.7265625" style="14" customWidth="1"/>
    <col min="6" max="6" width="16.26953125" style="7" customWidth="1"/>
    <col min="7" max="9" width="11.453125" style="7"/>
    <col min="10" max="10" width="61.81640625" style="7" customWidth="1"/>
    <col min="11" max="11" width="11.453125" style="8"/>
    <col min="12" max="12" width="11.453125" style="7"/>
    <col min="13" max="13" width="11.453125" style="7" customWidth="1"/>
    <col min="14" max="16384" width="11.453125" style="7"/>
  </cols>
  <sheetData>
    <row r="1" spans="1:11" s="9" customFormat="1" ht="33" customHeight="1" x14ac:dyDescent="0.35">
      <c r="A1" s="47" t="s">
        <v>778</v>
      </c>
      <c r="B1" s="47" t="s">
        <v>779</v>
      </c>
      <c r="C1" s="47" t="s">
        <v>780</v>
      </c>
      <c r="D1" s="47" t="s">
        <v>781</v>
      </c>
      <c r="E1" s="47" t="s">
        <v>294</v>
      </c>
      <c r="F1" s="47" t="s">
        <v>295</v>
      </c>
      <c r="G1" s="48" t="s">
        <v>70</v>
      </c>
      <c r="K1" s="15"/>
    </row>
    <row r="2" spans="1:11" x14ac:dyDescent="0.4">
      <c r="A2" s="12" t="s">
        <v>774</v>
      </c>
      <c r="B2" s="10">
        <v>0</v>
      </c>
      <c r="C2" s="11" t="s">
        <v>296</v>
      </c>
      <c r="D2" s="12" t="str">
        <f>SUBSTITUTE(SUBSTITUTE(SUBSTITUTE(SUBSTITUTE(SUBSTITUTE(SUBSTITUTE(SUBSTITUTE(C2,"Ã¡","á"),"Ã©","é"),"Ã­","í"),"Ã³","ó"),"Ãº","ú"),"Ã±","ñ"),"Ã","í")</f>
        <v>NaN</v>
      </c>
      <c r="E2" s="31">
        <f>SUMIF(INPUT!$A$2:$A$396,'Output - 3 dígitos'!B2,INPUT!$B$2:$B$396)</f>
        <v>63116287592</v>
      </c>
      <c r="F2" s="31">
        <f>SUMIF(INPUT!$A$2:$A$396,'Output - 3 dígitos'!B2,INPUT!$C$2:$C$396)</f>
        <v>6959703931</v>
      </c>
      <c r="G2" s="32">
        <f>F2/E2</f>
        <v>0.11026795454113723</v>
      </c>
      <c r="J2" s="7" t="str" cm="1">
        <f t="array" ref="J2:J227">_xlfn.SORTBY($D$2:$D$227,$G$2:$G$227,-1)</f>
        <v xml:space="preserve"> Fabricación y reparación de locomotoras y de material rodante para transporte ferroviario</v>
      </c>
      <c r="K2" s="8" cm="1">
        <f t="array" ref="K2:K228">_xlfn._xlws.SORT(G2:G228,,-1)</f>
        <v>0.52717338668720193</v>
      </c>
    </row>
    <row r="3" spans="1:11" x14ac:dyDescent="0.4">
      <c r="A3" s="12" t="s">
        <v>303</v>
      </c>
      <c r="B3" s="10">
        <v>11</v>
      </c>
      <c r="C3" s="11" t="s">
        <v>74</v>
      </c>
      <c r="D3" s="12" t="str">
        <f t="shared" ref="D3:D66" si="0">SUBSTITUTE(SUBSTITUTE(SUBSTITUTE(SUBSTITUTE(SUBSTITUTE(SUBSTITUTE(SUBSTITUTE(C3,"Ã¡","á"),"Ã©","é"),"Ã­","í"),"Ã³","ó"),"Ãº","ú"),"Ã±","ñ"),"Ã","í")</f>
        <v xml:space="preserve"> Cultivos temporales</v>
      </c>
      <c r="E3" s="31">
        <f>SUMIF(INPUT!$A$2:$A$396,'Output - 3 dígitos'!B3,INPUT!$B$2:$B$396)</f>
        <v>6371444007</v>
      </c>
      <c r="F3" s="31">
        <f>SUMIF(INPUT!$A$2:$A$396,'Output - 3 dígitos'!B3,INPUT!$C$2:$C$396)</f>
        <v>170218901</v>
      </c>
      <c r="G3" s="32">
        <f t="shared" ref="G3:G66" si="1">F3/E3</f>
        <v>2.6715906286391068E-2</v>
      </c>
      <c r="J3" s="7" t="str">
        <v xml:space="preserve"> Curtido y terminación de cueros</v>
      </c>
      <c r="K3" s="8">
        <v>0.36562046815024407</v>
      </c>
    </row>
    <row r="4" spans="1:11" x14ac:dyDescent="0.4">
      <c r="A4" s="12" t="s">
        <v>303</v>
      </c>
      <c r="B4" s="10">
        <v>12</v>
      </c>
      <c r="C4" s="11" t="s">
        <v>76</v>
      </c>
      <c r="D4" s="12" t="str">
        <f t="shared" si="0"/>
        <v xml:space="preserve"> Cultivos perennes</v>
      </c>
      <c r="E4" s="31">
        <f>SUMIF(INPUT!$A$2:$A$396,'Output - 3 dígitos'!B4,INPUT!$B$2:$B$396)</f>
        <v>614846765</v>
      </c>
      <c r="F4" s="31">
        <f>SUMIF(INPUT!$A$2:$A$396,'Output - 3 dígitos'!B4,INPUT!$C$2:$C$396)</f>
        <v>20850754</v>
      </c>
      <c r="G4" s="32">
        <f t="shared" si="1"/>
        <v>3.3912114671368565E-2</v>
      </c>
      <c r="J4" s="7" t="str">
        <v xml:space="preserve"> Elaboración de productos de molinería, almidones y productos derivados del almidón </v>
      </c>
      <c r="K4" s="8">
        <v>0.26368787415315614</v>
      </c>
    </row>
    <row r="5" spans="1:11" x14ac:dyDescent="0.4">
      <c r="A5" s="12" t="s">
        <v>303</v>
      </c>
      <c r="B5" s="10">
        <v>13</v>
      </c>
      <c r="C5" s="11" t="s">
        <v>78</v>
      </c>
      <c r="D5" s="12" t="str">
        <f t="shared" si="0"/>
        <v xml:space="preserve"> Producción de semillas y de otras formas de propagación de cultivos agrícolas</v>
      </c>
      <c r="E5" s="31">
        <f>SUMIF(INPUT!$A$2:$A$396,'Output - 3 dígitos'!B5,INPUT!$B$2:$B$396)</f>
        <v>610383932</v>
      </c>
      <c r="F5" s="31">
        <f>SUMIF(INPUT!$A$2:$A$396,'Output - 3 dígitos'!B5,INPUT!$C$2:$C$396)</f>
        <v>9400985</v>
      </c>
      <c r="G5" s="32">
        <f t="shared" si="1"/>
        <v>1.5401757004311182E-2</v>
      </c>
      <c r="J5" s="7" t="str">
        <v>nan</v>
      </c>
      <c r="K5" s="8">
        <v>0.24448879800147566</v>
      </c>
    </row>
    <row r="6" spans="1:11" x14ac:dyDescent="0.4">
      <c r="A6" s="12" t="s">
        <v>303</v>
      </c>
      <c r="B6" s="10">
        <v>14</v>
      </c>
      <c r="C6" s="11" t="s">
        <v>73</v>
      </c>
      <c r="D6" s="12" t="str">
        <f t="shared" si="0"/>
        <v xml:space="preserve"> Cría de animales</v>
      </c>
      <c r="E6" s="31">
        <f>SUMIF(INPUT!$A$2:$A$396,'Output - 3 dígitos'!B6,INPUT!$B$2:$B$396)</f>
        <v>2749446461</v>
      </c>
      <c r="F6" s="31">
        <f>SUMIF(INPUT!$A$2:$A$396,'Output - 3 dígitos'!B6,INPUT!$C$2:$C$396)</f>
        <v>69794707</v>
      </c>
      <c r="G6" s="32">
        <f t="shared" si="1"/>
        <v>2.5385003123361418E-2</v>
      </c>
      <c r="J6" s="7" t="str">
        <v xml:space="preserve"> Servicios industriales para la industria confeccionista</v>
      </c>
      <c r="K6" s="8">
        <v>0.2005690614790146</v>
      </c>
    </row>
    <row r="7" spans="1:11" x14ac:dyDescent="0.4">
      <c r="A7" s="12" t="s">
        <v>303</v>
      </c>
      <c r="B7" s="10">
        <v>16</v>
      </c>
      <c r="C7" s="11" t="s">
        <v>77</v>
      </c>
      <c r="D7" s="12" t="str">
        <f t="shared" si="0"/>
        <v xml:space="preserve"> Servicios de apoyo agrícolas y pecuarios</v>
      </c>
      <c r="E7" s="31">
        <f>SUMIF(INPUT!$A$2:$A$396,'Output - 3 dígitos'!B7,INPUT!$B$2:$B$396)</f>
        <v>1165449821</v>
      </c>
      <c r="F7" s="31">
        <f>SUMIF(INPUT!$A$2:$A$396,'Output - 3 dígitos'!B7,INPUT!$C$2:$C$396)</f>
        <v>60071354</v>
      </c>
      <c r="G7" s="32">
        <f t="shared" si="1"/>
        <v>5.1543492407469339E-2</v>
      </c>
      <c r="J7" s="7" t="str">
        <v xml:space="preserve"> Fabricación de fibras manufacturadas</v>
      </c>
      <c r="K7" s="8">
        <v>0.17370315968746897</v>
      </c>
    </row>
    <row r="8" spans="1:11" x14ac:dyDescent="0.4">
      <c r="A8" s="12" t="s">
        <v>303</v>
      </c>
      <c r="B8" s="10">
        <v>17</v>
      </c>
      <c r="C8" s="11" t="s">
        <v>75</v>
      </c>
      <c r="D8" s="12" t="str">
        <f t="shared" si="0"/>
        <v xml:space="preserve"> Caza, repoblación  de animales de caza y servicios de apoyo</v>
      </c>
      <c r="E8" s="31">
        <f>SUMIF(INPUT!$A$2:$A$396,'Output - 3 dígitos'!B8,INPUT!$B$2:$B$396)</f>
        <v>3678420</v>
      </c>
      <c r="F8" s="31">
        <f>SUMIF(INPUT!$A$2:$A$396,'Output - 3 dígitos'!B8,INPUT!$C$2:$C$396)</f>
        <v>25830</v>
      </c>
      <c r="G8" s="32">
        <f t="shared" si="1"/>
        <v>7.0220366352945016E-3</v>
      </c>
      <c r="J8" s="7" t="str">
        <v xml:space="preserve"> Fabricación de motores, generadores y transformadores eléctricos y aparatos de distribución  y control de la energía eléctrica</v>
      </c>
      <c r="K8" s="8">
        <v>0.13377607009621922</v>
      </c>
    </row>
    <row r="9" spans="1:11" x14ac:dyDescent="0.4">
      <c r="A9" s="12" t="s">
        <v>303</v>
      </c>
      <c r="B9" s="10">
        <v>21</v>
      </c>
      <c r="C9" s="11" t="s">
        <v>80</v>
      </c>
      <c r="D9" s="12" t="str">
        <f t="shared" si="0"/>
        <v xml:space="preserve"> Silvicultura</v>
      </c>
      <c r="E9" s="31">
        <f>SUMIF(INPUT!$A$2:$A$396,'Output - 3 dígitos'!B9,INPUT!$B$2:$B$396)</f>
        <v>4208637</v>
      </c>
      <c r="F9" s="31">
        <f>SUMIF(INPUT!$A$2:$A$396,'Output - 3 dígitos'!B9,INPUT!$C$2:$C$396)</f>
        <v>314580</v>
      </c>
      <c r="G9" s="32">
        <f t="shared" si="1"/>
        <v>7.4746289594469661E-2</v>
      </c>
      <c r="J9" s="7" t="str">
        <v xml:space="preserve"> Servicios de la seguridad social obligatoria, excepto obras sociales</v>
      </c>
      <c r="K9" s="8">
        <v>0.13007136947914252</v>
      </c>
    </row>
    <row r="10" spans="1:11" x14ac:dyDescent="0.4">
      <c r="A10" s="12" t="s">
        <v>303</v>
      </c>
      <c r="B10" s="10">
        <v>22</v>
      </c>
      <c r="C10" s="11" t="s">
        <v>81</v>
      </c>
      <c r="D10" s="12" t="str">
        <f t="shared" si="0"/>
        <v xml:space="preserve"> Extracción de productos forestales</v>
      </c>
      <c r="E10" s="31">
        <f>SUMIF(INPUT!$A$2:$A$396,'Output - 3 dígitos'!B10,INPUT!$B$2:$B$396)</f>
        <v>35427340</v>
      </c>
      <c r="F10" s="31">
        <f>SUMIF(INPUT!$A$2:$A$396,'Output - 3 dígitos'!B10,INPUT!$C$2:$C$396)</f>
        <v>4393447</v>
      </c>
      <c r="G10" s="32">
        <f t="shared" si="1"/>
        <v>0.12401289512562896</v>
      </c>
      <c r="J10" s="7" t="str">
        <v xml:space="preserve"> Extracción de productos forestales</v>
      </c>
      <c r="K10" s="8">
        <v>0.12401289512562896</v>
      </c>
    </row>
    <row r="11" spans="1:11" x14ac:dyDescent="0.4">
      <c r="A11" s="12" t="s">
        <v>303</v>
      </c>
      <c r="B11" s="10">
        <v>24</v>
      </c>
      <c r="C11" s="11" t="s">
        <v>79</v>
      </c>
      <c r="D11" s="12" t="str">
        <f t="shared" si="0"/>
        <v xml:space="preserve"> Servicios de apoyo a la silvicultura</v>
      </c>
      <c r="E11" s="31">
        <f>SUMIF(INPUT!$A$2:$A$396,'Output - 3 dígitos'!B11,INPUT!$B$2:$B$396)</f>
        <v>11819269</v>
      </c>
      <c r="F11" s="31">
        <f>SUMIF(INPUT!$A$2:$A$396,'Output - 3 dígitos'!B11,INPUT!$C$2:$C$396)</f>
        <v>89795</v>
      </c>
      <c r="G11" s="32">
        <f t="shared" si="1"/>
        <v>7.5973395647395787E-3</v>
      </c>
      <c r="J11" s="7" t="str">
        <v xml:space="preserve">Servicios de manipulación de cargas </v>
      </c>
      <c r="K11" s="8">
        <v>0.12034139831461398</v>
      </c>
    </row>
    <row r="12" spans="1:11" x14ac:dyDescent="0.4">
      <c r="A12" s="12" t="s">
        <v>313</v>
      </c>
      <c r="B12" s="10">
        <v>31</v>
      </c>
      <c r="C12" s="11" t="s">
        <v>82</v>
      </c>
      <c r="D12" s="12" t="str">
        <f t="shared" si="0"/>
        <v xml:space="preserve"> Pesca y servicios de apoyo</v>
      </c>
      <c r="E12" s="31">
        <f>SUMIF(INPUT!$A$2:$A$396,'Output - 3 dígitos'!B12,INPUT!$B$2:$B$396)</f>
        <v>91202133</v>
      </c>
      <c r="F12" s="31">
        <f>SUMIF(INPUT!$A$2:$A$396,'Output - 3 dígitos'!B12,INPUT!$C$2:$C$396)</f>
        <v>4130327</v>
      </c>
      <c r="G12" s="32">
        <f t="shared" si="1"/>
        <v>4.5287614051745917E-2</v>
      </c>
      <c r="J12" s="7" t="str">
        <v xml:space="preserve"> Fabricación de papel y de productos de papel</v>
      </c>
      <c r="K12" s="8">
        <v>0.11826732211809479</v>
      </c>
    </row>
    <row r="13" spans="1:11" x14ac:dyDescent="0.4">
      <c r="A13" s="12" t="s">
        <v>313</v>
      </c>
      <c r="B13" s="10">
        <v>32</v>
      </c>
      <c r="C13" s="11" t="s">
        <v>83</v>
      </c>
      <c r="D13" s="12" t="str">
        <f t="shared" si="0"/>
        <v xml:space="preserve"> Explotación de criaderos de peces, granjas piscícolas y otros frutos acuáticos (acuicultura)</v>
      </c>
      <c r="E13" s="31">
        <f>SUMIF(INPUT!$A$2:$A$396,'Output - 3 dígitos'!B13,INPUT!$B$2:$B$396)</f>
        <v>10738332</v>
      </c>
      <c r="F13" s="31">
        <f>SUMIF(INPUT!$A$2:$A$396,'Output - 3 dígitos'!B13,INPUT!$C$2:$C$396)</f>
        <v>367750</v>
      </c>
      <c r="G13" s="32">
        <f t="shared" si="1"/>
        <v>3.4246473288402704E-2</v>
      </c>
      <c r="J13" s="7" t="str">
        <v xml:space="preserve"> Elaboración de pescado y productos de pescado</v>
      </c>
      <c r="K13" s="8">
        <v>0.11514530919511252</v>
      </c>
    </row>
    <row r="14" spans="1:11" x14ac:dyDescent="0.4">
      <c r="A14" s="12" t="s">
        <v>316</v>
      </c>
      <c r="B14" s="10">
        <v>51</v>
      </c>
      <c r="C14" s="11" t="s">
        <v>85</v>
      </c>
      <c r="D14" s="12" t="str">
        <f t="shared" si="0"/>
        <v xml:space="preserve"> Extracción y aglomeración de carbón </v>
      </c>
      <c r="E14" s="31">
        <f>SUMIF(INPUT!$A$2:$A$396,'Output - 3 dígitos'!B14,INPUT!$B$2:$B$396)</f>
        <v>804004</v>
      </c>
      <c r="F14" s="31">
        <f>SUMIF(INPUT!$A$2:$A$396,'Output - 3 dígitos'!B14,INPUT!$C$2:$C$396)</f>
        <v>3456</v>
      </c>
      <c r="G14" s="32">
        <f t="shared" si="1"/>
        <v>4.2984860771836959E-3</v>
      </c>
      <c r="J14" s="7" t="str">
        <v>Venta al por menor de productos alimenticios, bebidas y tabaco en comercios especializados</v>
      </c>
      <c r="K14" s="8">
        <v>0.11500953269125913</v>
      </c>
    </row>
    <row r="15" spans="1:11" x14ac:dyDescent="0.4">
      <c r="A15" s="12" t="s">
        <v>316</v>
      </c>
      <c r="B15" s="10">
        <v>52</v>
      </c>
      <c r="C15" s="11" t="s">
        <v>84</v>
      </c>
      <c r="D15" s="12" t="str">
        <f t="shared" si="0"/>
        <v xml:space="preserve"> Extracción y aglomeración de lignito</v>
      </c>
      <c r="E15" s="31">
        <f>SUMIF(INPUT!$A$2:$A$396,'Output - 3 dígitos'!B15,INPUT!$B$2:$B$396)</f>
        <v>85729</v>
      </c>
      <c r="F15" s="31">
        <f>SUMIF(INPUT!$A$2:$A$396,'Output - 3 dígitos'!B15,INPUT!$C$2:$C$396)</f>
        <v>3451</v>
      </c>
      <c r="G15" s="32">
        <f t="shared" si="1"/>
        <v>4.0254756266840858E-2</v>
      </c>
      <c r="J15" s="7" t="str">
        <v xml:space="preserve"> Servicios de apoyo a la administración de oficinas y empresas</v>
      </c>
      <c r="K15" s="8">
        <v>0.11365328534909958</v>
      </c>
    </row>
    <row r="16" spans="1:11" x14ac:dyDescent="0.4">
      <c r="A16" s="12" t="s">
        <v>316</v>
      </c>
      <c r="B16" s="10">
        <v>61</v>
      </c>
      <c r="C16" s="11" t="s">
        <v>87</v>
      </c>
      <c r="D16" s="12" t="str">
        <f t="shared" si="0"/>
        <v xml:space="preserve"> Extracción de petróleo crudo</v>
      </c>
      <c r="E16" s="31">
        <f>SUMIF(INPUT!$A$2:$A$396,'Output - 3 dígitos'!B16,INPUT!$B$2:$B$396)</f>
        <v>4535009645</v>
      </c>
      <c r="F16" s="31">
        <f>SUMIF(INPUT!$A$2:$A$396,'Output - 3 dígitos'!B16,INPUT!$C$2:$C$396)</f>
        <v>14864049</v>
      </c>
      <c r="G16" s="32">
        <f t="shared" si="1"/>
        <v>3.2776223566333782E-3</v>
      </c>
      <c r="J16" s="7" t="str">
        <v>Otros sectores</v>
      </c>
      <c r="K16" s="8">
        <v>0.11126030189346256</v>
      </c>
    </row>
    <row r="17" spans="1:11" x14ac:dyDescent="0.4">
      <c r="A17" s="12" t="s">
        <v>316</v>
      </c>
      <c r="B17" s="10">
        <v>62</v>
      </c>
      <c r="C17" s="11" t="s">
        <v>86</v>
      </c>
      <c r="D17" s="12" t="str">
        <f t="shared" si="0"/>
        <v xml:space="preserve"> Extracción de gas natural</v>
      </c>
      <c r="E17" s="31">
        <f>SUMIF(INPUT!$A$2:$A$396,'Output - 3 dígitos'!B17,INPUT!$B$2:$B$396)</f>
        <v>1433046</v>
      </c>
      <c r="F17" s="31">
        <f>SUMIF(INPUT!$A$2:$A$396,'Output - 3 dígitos'!B17,INPUT!$C$2:$C$396)</f>
        <v>40789</v>
      </c>
      <c r="G17" s="32">
        <f t="shared" si="1"/>
        <v>2.8463147728684215E-2</v>
      </c>
      <c r="J17" s="7" t="str">
        <v>NaN</v>
      </c>
      <c r="K17" s="8">
        <v>0.11026795454113723</v>
      </c>
    </row>
    <row r="18" spans="1:11" x14ac:dyDescent="0.4">
      <c r="A18" s="12" t="s">
        <v>316</v>
      </c>
      <c r="B18" s="10">
        <v>71</v>
      </c>
      <c r="C18" s="11" t="s">
        <v>89</v>
      </c>
      <c r="D18" s="12" t="str">
        <f t="shared" si="0"/>
        <v xml:space="preserve"> Extracción de minerales de hierro</v>
      </c>
      <c r="E18" s="31">
        <f>SUMIF(INPUT!$A$2:$A$396,'Output - 3 dígitos'!B18,INPUT!$B$2:$B$396)</f>
        <v>3779514</v>
      </c>
      <c r="F18" s="31">
        <f>SUMIF(INPUT!$A$2:$A$396,'Output - 3 dígitos'!B18,INPUT!$C$2:$C$396)</f>
        <v>175779</v>
      </c>
      <c r="G18" s="32">
        <f t="shared" si="1"/>
        <v>4.650836059874365E-2</v>
      </c>
      <c r="J18" s="7" t="str">
        <v xml:space="preserve"> Actividades profesionales, científicas y técnicas ncp</v>
      </c>
      <c r="K18" s="8">
        <v>0.10684230075232835</v>
      </c>
    </row>
    <row r="19" spans="1:11" x14ac:dyDescent="0.4">
      <c r="A19" s="12" t="s">
        <v>316</v>
      </c>
      <c r="B19" s="10">
        <v>72</v>
      </c>
      <c r="C19" s="11" t="s">
        <v>88</v>
      </c>
      <c r="D19" s="12" t="str">
        <f t="shared" si="0"/>
        <v xml:space="preserve"> Extracción de minerales metalíferos no ferrosos</v>
      </c>
      <c r="E19" s="31">
        <f>SUMIF(INPUT!$A$2:$A$396,'Output - 3 dígitos'!B19,INPUT!$B$2:$B$396)</f>
        <v>237905491</v>
      </c>
      <c r="F19" s="31">
        <f>SUMIF(INPUT!$A$2:$A$396,'Output - 3 dígitos'!B19,INPUT!$C$2:$C$396)</f>
        <v>564677</v>
      </c>
      <c r="G19" s="32">
        <f t="shared" si="1"/>
        <v>2.3735349597290294E-3</v>
      </c>
      <c r="J19" s="7" t="str">
        <v xml:space="preserve"> Servicios de seguridad e investigación</v>
      </c>
      <c r="K19" s="8">
        <v>0.10680842219569008</v>
      </c>
    </row>
    <row r="20" spans="1:11" x14ac:dyDescent="0.4">
      <c r="A20" s="12" t="s">
        <v>316</v>
      </c>
      <c r="B20" s="10">
        <v>81</v>
      </c>
      <c r="C20" s="11" t="s">
        <v>90</v>
      </c>
      <c r="D20" s="12" t="str">
        <f t="shared" si="0"/>
        <v xml:space="preserve"> Extracción de piedra, arena y arcillas</v>
      </c>
      <c r="E20" s="31">
        <f>SUMIF(INPUT!$A$2:$A$396,'Output - 3 dígitos'!B20,INPUT!$B$2:$B$396)</f>
        <v>108455132</v>
      </c>
      <c r="F20" s="31">
        <f>SUMIF(INPUT!$A$2:$A$396,'Output - 3 dígitos'!B20,INPUT!$C$2:$C$396)</f>
        <v>976226</v>
      </c>
      <c r="G20" s="32">
        <f t="shared" si="1"/>
        <v>9.0011969189249617E-3</v>
      </c>
      <c r="J20" s="7" t="str">
        <v>Venta al por menor en puestos móviles y mercados</v>
      </c>
      <c r="K20" s="8">
        <v>0.1012481540940296</v>
      </c>
    </row>
    <row r="21" spans="1:11" x14ac:dyDescent="0.4">
      <c r="A21" s="12" t="s">
        <v>316</v>
      </c>
      <c r="B21" s="10">
        <v>89</v>
      </c>
      <c r="C21" s="11" t="s">
        <v>91</v>
      </c>
      <c r="D21" s="12" t="str">
        <f t="shared" si="0"/>
        <v xml:space="preserve"> Explotación de minas y canteras ncp</v>
      </c>
      <c r="E21" s="31">
        <f>SUMIF(INPUT!$A$2:$A$396,'Output - 3 dígitos'!B21,INPUT!$B$2:$B$396)</f>
        <v>85166309</v>
      </c>
      <c r="F21" s="31">
        <f>SUMIF(INPUT!$A$2:$A$396,'Output - 3 dígitos'!B21,INPUT!$C$2:$C$396)</f>
        <v>152892</v>
      </c>
      <c r="G21" s="32">
        <f t="shared" si="1"/>
        <v>1.7952169325548674E-3</v>
      </c>
      <c r="J21" s="7" t="str">
        <v xml:space="preserve"> Reparación de efectos personales y enseres domésticos</v>
      </c>
      <c r="K21" s="8">
        <v>0.1001857027698911</v>
      </c>
    </row>
    <row r="22" spans="1:11" x14ac:dyDescent="0.4">
      <c r="A22" s="12" t="s">
        <v>316</v>
      </c>
      <c r="B22" s="10">
        <v>91</v>
      </c>
      <c r="C22" s="11" t="s">
        <v>92</v>
      </c>
      <c r="D22" s="12" t="str">
        <f t="shared" si="0"/>
        <v xml:space="preserve"> Servicios de apoyo para la extracción de petróleo y gas natural</v>
      </c>
      <c r="E22" s="31">
        <f>SUMIF(INPUT!$A$2:$A$396,'Output - 3 dígitos'!B22,INPUT!$B$2:$B$396)</f>
        <v>473488459</v>
      </c>
      <c r="F22" s="31">
        <f>SUMIF(INPUT!$A$2:$A$396,'Output - 3 dígitos'!B22,INPUT!$C$2:$C$396)</f>
        <v>1164438</v>
      </c>
      <c r="G22" s="32">
        <f t="shared" si="1"/>
        <v>2.4592743030300555E-3</v>
      </c>
      <c r="J22" s="7" t="str">
        <v xml:space="preserve"> Ensayos y análisis técnicos</v>
      </c>
      <c r="K22" s="8">
        <v>9.9009828278416367E-2</v>
      </c>
    </row>
    <row r="23" spans="1:11" x14ac:dyDescent="0.4">
      <c r="A23" s="12" t="s">
        <v>316</v>
      </c>
      <c r="B23" s="10">
        <v>99</v>
      </c>
      <c r="C23" s="11" t="s">
        <v>93</v>
      </c>
      <c r="D23" s="12" t="str">
        <f t="shared" si="0"/>
        <v xml:space="preserve"> Servicios de apoyo para la minería, excepto para la extracción de petróleo  y gas natural</v>
      </c>
      <c r="E23" s="31">
        <f>SUMIF(INPUT!$A$2:$A$396,'Output - 3 dígitos'!B23,INPUT!$B$2:$B$396)</f>
        <v>40573548</v>
      </c>
      <c r="F23" s="31">
        <f>SUMIF(INPUT!$A$2:$A$396,'Output - 3 dígitos'!B23,INPUT!$C$2:$C$396)</f>
        <v>2535999</v>
      </c>
      <c r="G23" s="32">
        <f t="shared" si="1"/>
        <v>6.2503752444819469E-2</v>
      </c>
      <c r="J23" s="7" t="str">
        <v xml:space="preserve"> Edición</v>
      </c>
      <c r="K23" s="8">
        <v>9.5233073998714432E-2</v>
      </c>
    </row>
    <row r="24" spans="1:11" x14ac:dyDescent="0.4">
      <c r="A24" s="12" t="s">
        <v>327</v>
      </c>
      <c r="B24" s="10">
        <v>101</v>
      </c>
      <c r="C24" s="11" t="s">
        <v>94</v>
      </c>
      <c r="D24" s="12" t="str">
        <f t="shared" si="0"/>
        <v xml:space="preserve"> Producción y procesamiento de carne y productos cárnicos, excepto pescado</v>
      </c>
      <c r="E24" s="31">
        <f>SUMIF(INPUT!$A$2:$A$396,'Output - 3 dígitos'!B24,INPUT!$B$2:$B$396)</f>
        <v>2898265826</v>
      </c>
      <c r="F24" s="31">
        <f>SUMIF(INPUT!$A$2:$A$396,'Output - 3 dígitos'!B24,INPUT!$C$2:$C$396)</f>
        <v>64587255</v>
      </c>
      <c r="G24" s="32">
        <f t="shared" si="1"/>
        <v>2.2284793348006718E-2</v>
      </c>
      <c r="J24" s="7" t="str">
        <v xml:space="preserve"> Impresión y servicios relacionados con la impresión</v>
      </c>
      <c r="K24" s="8">
        <v>9.4885402994380516E-2</v>
      </c>
    </row>
    <row r="25" spans="1:11" x14ac:dyDescent="0.4">
      <c r="A25" s="12" t="s">
        <v>327</v>
      </c>
      <c r="B25" s="10">
        <v>102</v>
      </c>
      <c r="C25" s="11" t="s">
        <v>98</v>
      </c>
      <c r="D25" s="12" t="str">
        <f t="shared" si="0"/>
        <v xml:space="preserve"> Elaboración de pescado y productos de pescado</v>
      </c>
      <c r="E25" s="31">
        <f>SUMIF(INPUT!$A$2:$A$396,'Output - 3 dígitos'!B25,INPUT!$B$2:$B$396)</f>
        <v>113009710</v>
      </c>
      <c r="F25" s="31">
        <f>SUMIF(INPUT!$A$2:$A$396,'Output - 3 dígitos'!B25,INPUT!$C$2:$C$396)</f>
        <v>13012538</v>
      </c>
      <c r="G25" s="32">
        <f t="shared" si="1"/>
        <v>0.11514530919511252</v>
      </c>
      <c r="J25" s="7" t="str">
        <v xml:space="preserve"> Terminación de edificios </v>
      </c>
      <c r="K25" s="8">
        <v>9.3169198609896517E-2</v>
      </c>
    </row>
    <row r="26" spans="1:11" x14ac:dyDescent="0.4">
      <c r="A26" s="12" t="s">
        <v>327</v>
      </c>
      <c r="B26" s="10">
        <v>103</v>
      </c>
      <c r="C26" s="11" t="s">
        <v>100</v>
      </c>
      <c r="D26" s="12" t="str">
        <f t="shared" si="0"/>
        <v xml:space="preserve"> Preparación de frutas, hortalizas y legumbres</v>
      </c>
      <c r="E26" s="31">
        <f>SUMIF(INPUT!$A$2:$A$396,'Output - 3 dígitos'!B26,INPUT!$B$2:$B$396)</f>
        <v>531783040</v>
      </c>
      <c r="F26" s="31">
        <f>SUMIF(INPUT!$A$2:$A$396,'Output - 3 dígitos'!B26,INPUT!$C$2:$C$396)</f>
        <v>762272</v>
      </c>
      <c r="G26" s="32">
        <f t="shared" si="1"/>
        <v>1.4334266846870484E-3</v>
      </c>
      <c r="J26" s="7" t="str">
        <v xml:space="preserve"> Servicio combinado de apoyo a edificios</v>
      </c>
      <c r="K26" s="8">
        <v>8.8924076190569426E-2</v>
      </c>
    </row>
    <row r="27" spans="1:11" x14ac:dyDescent="0.4">
      <c r="A27" s="12" t="s">
        <v>327</v>
      </c>
      <c r="B27" s="10">
        <v>104</v>
      </c>
      <c r="C27" s="11" t="s">
        <v>96</v>
      </c>
      <c r="D27" s="12" t="str">
        <f t="shared" si="0"/>
        <v xml:space="preserve"> Elaboración de aceites y grasas de origen vegetal</v>
      </c>
      <c r="E27" s="31">
        <f>SUMIF(INPUT!$A$2:$A$396,'Output - 3 dígitos'!B27,INPUT!$B$2:$B$396)</f>
        <v>737628041</v>
      </c>
      <c r="F27" s="31">
        <f>SUMIF(INPUT!$A$2:$A$396,'Output - 3 dígitos'!B27,INPUT!$C$2:$C$396)</f>
        <v>15529989</v>
      </c>
      <c r="G27" s="32">
        <f t="shared" si="1"/>
        <v>2.1053956922442975E-2</v>
      </c>
      <c r="J27" s="7" t="str">
        <v>Fabricación de acumuladores,  pilas y baterías primarias</v>
      </c>
      <c r="K27" s="8">
        <v>8.8294595861879557E-2</v>
      </c>
    </row>
    <row r="28" spans="1:11" x14ac:dyDescent="0.4">
      <c r="A28" s="12" t="s">
        <v>327</v>
      </c>
      <c r="B28" s="10">
        <v>105</v>
      </c>
      <c r="C28" s="11" t="s">
        <v>95</v>
      </c>
      <c r="D28" s="12" t="str">
        <f t="shared" si="0"/>
        <v xml:space="preserve"> Elaboración de productos lácteos</v>
      </c>
      <c r="E28" s="31">
        <f>SUMIF(INPUT!$A$2:$A$396,'Output - 3 dígitos'!B28,INPUT!$B$2:$B$396)</f>
        <v>558833881</v>
      </c>
      <c r="F28" s="31">
        <f>SUMIF(INPUT!$A$2:$A$396,'Output - 3 dígitos'!B28,INPUT!$C$2:$C$396)</f>
        <v>8141839</v>
      </c>
      <c r="G28" s="32">
        <f t="shared" si="1"/>
        <v>1.4569336750718592E-2</v>
      </c>
      <c r="J28" s="7" t="str">
        <v xml:space="preserve"> Fabricación de productos de hornos de coque</v>
      </c>
      <c r="K28" s="8">
        <v>8.7021045293435642E-2</v>
      </c>
    </row>
    <row r="29" spans="1:11" x14ac:dyDescent="0.4">
      <c r="A29" s="12" t="s">
        <v>327</v>
      </c>
      <c r="B29" s="10">
        <v>106</v>
      </c>
      <c r="C29" s="11" t="s">
        <v>97</v>
      </c>
      <c r="D29" s="12" t="str">
        <f t="shared" si="0"/>
        <v xml:space="preserve"> Elaboración de productos de molinería, almidones y productos derivados del almidón </v>
      </c>
      <c r="E29" s="31">
        <f>SUMIF(INPUT!$A$2:$A$396,'Output - 3 dígitos'!B29,INPUT!$B$2:$B$396)</f>
        <v>439690264</v>
      </c>
      <c r="F29" s="31">
        <f>SUMIF(INPUT!$A$2:$A$396,'Output - 3 dígitos'!B29,INPUT!$C$2:$C$396)</f>
        <v>115940991</v>
      </c>
      <c r="G29" s="32">
        <f t="shared" si="1"/>
        <v>0.26368787415315614</v>
      </c>
      <c r="J29" s="7" t="str">
        <v xml:space="preserve"> Fabricación de muebles y colchones</v>
      </c>
      <c r="K29" s="8">
        <v>8.4100286197083443E-2</v>
      </c>
    </row>
    <row r="30" spans="1:11" x14ac:dyDescent="0.4">
      <c r="A30" s="12" t="s">
        <v>327</v>
      </c>
      <c r="B30" s="10">
        <v>107</v>
      </c>
      <c r="C30" s="11" t="s">
        <v>99</v>
      </c>
      <c r="D30" s="12" t="str">
        <f t="shared" si="0"/>
        <v xml:space="preserve"> Elaboración de productos alimenticios ncp</v>
      </c>
      <c r="E30" s="31">
        <f>SUMIF(INPUT!$A$2:$A$396,'Output - 3 dígitos'!B30,INPUT!$B$2:$B$396)</f>
        <v>1679981503</v>
      </c>
      <c r="F30" s="31">
        <f>SUMIF(INPUT!$A$2:$A$396,'Output - 3 dígitos'!B30,INPUT!$C$2:$C$396)</f>
        <v>17926750</v>
      </c>
      <c r="G30" s="32">
        <f t="shared" si="1"/>
        <v>1.0670802010609994E-2</v>
      </c>
      <c r="J30" s="7" t="str">
        <v xml:space="preserve"> Servicios de diseño especializado</v>
      </c>
      <c r="K30" s="8">
        <v>8.3399297405699707E-2</v>
      </c>
    </row>
    <row r="31" spans="1:11" x14ac:dyDescent="0.4">
      <c r="A31" s="12" t="s">
        <v>327</v>
      </c>
      <c r="B31" s="10">
        <v>108</v>
      </c>
      <c r="C31" s="11" t="s">
        <v>102</v>
      </c>
      <c r="D31" s="12" t="str">
        <f t="shared" si="0"/>
        <v xml:space="preserve"> Elaboración de alimentos preparados para animales</v>
      </c>
      <c r="E31" s="31">
        <f>SUMIF(INPUT!$A$2:$A$396,'Output - 3 dígitos'!B31,INPUT!$B$2:$B$396)</f>
        <v>164970776</v>
      </c>
      <c r="F31" s="31">
        <f>SUMIF(INPUT!$A$2:$A$396,'Output - 3 dígitos'!B31,INPUT!$C$2:$C$396)</f>
        <v>12485335</v>
      </c>
      <c r="G31" s="32">
        <f t="shared" si="1"/>
        <v>7.5682101416556347E-2</v>
      </c>
      <c r="J31" s="7" t="str">
        <v>Venta al por menor no realizada en comercios, puestos o mercados</v>
      </c>
      <c r="K31" s="8">
        <v>8.2437702263937235E-2</v>
      </c>
    </row>
    <row r="32" spans="1:11" x14ac:dyDescent="0.4">
      <c r="A32" s="12" t="s">
        <v>327</v>
      </c>
      <c r="B32" s="10">
        <v>109</v>
      </c>
      <c r="C32" s="11" t="s">
        <v>101</v>
      </c>
      <c r="D32" s="12" t="str">
        <f t="shared" si="0"/>
        <v xml:space="preserve"> Servicios industriales para la elaboración de alimentos y bebidas</v>
      </c>
      <c r="E32" s="31">
        <f>SUMIF(INPUT!$A$2:$A$396,'Output - 3 dígitos'!B32,INPUT!$B$2:$B$396)</f>
        <v>3491345</v>
      </c>
      <c r="F32" s="31">
        <f>SUMIF(INPUT!$A$2:$A$396,'Output - 3 dígitos'!B32,INPUT!$C$2:$C$396)</f>
        <v>104630</v>
      </c>
      <c r="G32" s="32">
        <f t="shared" si="1"/>
        <v>2.9968393269642502E-2</v>
      </c>
      <c r="J32" s="7" t="str">
        <v xml:space="preserve"> Fabricación de joyas, bijouterie y artículos conexos</v>
      </c>
      <c r="K32" s="8">
        <v>8.0181859646700188E-2</v>
      </c>
    </row>
    <row r="33" spans="1:11" x14ac:dyDescent="0.4">
      <c r="A33" s="12" t="s">
        <v>327</v>
      </c>
      <c r="B33" s="10">
        <v>110</v>
      </c>
      <c r="C33" s="11" t="s">
        <v>103</v>
      </c>
      <c r="D33" s="12" t="str">
        <f t="shared" si="0"/>
        <v xml:space="preserve"> Elaboración de bebidas</v>
      </c>
      <c r="E33" s="31">
        <f>SUMIF(INPUT!$A$2:$A$396,'Output - 3 dígitos'!B33,INPUT!$B$2:$B$396)</f>
        <v>823538551</v>
      </c>
      <c r="F33" s="31">
        <f>SUMIF(INPUT!$A$2:$A$396,'Output - 3 dígitos'!B33,INPUT!$C$2:$C$396)</f>
        <v>50567715</v>
      </c>
      <c r="G33" s="32">
        <f t="shared" si="1"/>
        <v>6.140297250031225E-2</v>
      </c>
      <c r="J33" s="7" t="str">
        <v xml:space="preserve"> Servicios sociales sin alojamiento</v>
      </c>
      <c r="K33" s="8">
        <v>7.9524448209172871E-2</v>
      </c>
    </row>
    <row r="34" spans="1:11" x14ac:dyDescent="0.4">
      <c r="A34" s="12" t="s">
        <v>338</v>
      </c>
      <c r="B34" s="10">
        <v>120</v>
      </c>
      <c r="C34" s="11" t="s">
        <v>104</v>
      </c>
      <c r="D34" s="12" t="str">
        <f t="shared" si="0"/>
        <v xml:space="preserve"> Elaboración de productos de tabaco</v>
      </c>
      <c r="E34" s="31">
        <f>SUMIF(INPUT!$A$2:$A$396,'Output - 3 dígitos'!B34,INPUT!$B$2:$B$396)</f>
        <v>158569706</v>
      </c>
      <c r="F34" s="31">
        <f>SUMIF(INPUT!$A$2:$A$396,'Output - 3 dígitos'!B34,INPUT!$C$2:$C$396)</f>
        <v>697902</v>
      </c>
      <c r="G34" s="32">
        <f t="shared" si="1"/>
        <v>4.4012315946401516E-3</v>
      </c>
      <c r="J34" s="7" t="str">
        <v xml:space="preserve"> Servicios de agencias de noticias y servicios de información ncp</v>
      </c>
      <c r="K34" s="8">
        <v>7.9131864381493555E-2</v>
      </c>
    </row>
    <row r="35" spans="1:11" x14ac:dyDescent="0.4">
      <c r="A35" s="12" t="s">
        <v>340</v>
      </c>
      <c r="B35" s="10">
        <v>131</v>
      </c>
      <c r="C35" s="11" t="s">
        <v>106</v>
      </c>
      <c r="D35" s="12" t="str">
        <f t="shared" si="0"/>
        <v xml:space="preserve"> Fabricación  de hilados y  tejidos, acabado de productos textiles</v>
      </c>
      <c r="E35" s="31">
        <f>SUMIF(INPUT!$A$2:$A$396,'Output - 3 dígitos'!B35,INPUT!$B$2:$B$396)</f>
        <v>270588005</v>
      </c>
      <c r="F35" s="31">
        <f>SUMIF(INPUT!$A$2:$A$396,'Output - 3 dígitos'!B35,INPUT!$C$2:$C$396)</f>
        <v>15277393</v>
      </c>
      <c r="G35" s="32">
        <f t="shared" si="1"/>
        <v>5.6459978704525356E-2</v>
      </c>
      <c r="J35" s="7" t="str">
        <v xml:space="preserve"> Servicios de depuración de aguas residuales, alcantarillado y cloacas</v>
      </c>
      <c r="K35" s="8">
        <v>7.8843263916360914E-2</v>
      </c>
    </row>
    <row r="36" spans="1:11" x14ac:dyDescent="0.4">
      <c r="A36" s="12" t="s">
        <v>340</v>
      </c>
      <c r="B36" s="10">
        <v>139</v>
      </c>
      <c r="C36" s="11" t="s">
        <v>105</v>
      </c>
      <c r="D36" s="12" t="str">
        <f t="shared" si="0"/>
        <v xml:space="preserve"> Fabricación de productos textiles ncp</v>
      </c>
      <c r="E36" s="31">
        <f>SUMIF(INPUT!$A$2:$A$396,'Output - 3 dígitos'!B36,INPUT!$B$2:$B$396)</f>
        <v>216850528</v>
      </c>
      <c r="F36" s="31">
        <f>SUMIF(INPUT!$A$2:$A$396,'Output - 3 dígitos'!B36,INPUT!$C$2:$C$396)</f>
        <v>14345041</v>
      </c>
      <c r="G36" s="32">
        <f t="shared" si="1"/>
        <v>6.6151745777626142E-2</v>
      </c>
      <c r="J36" s="7" t="str">
        <v xml:space="preserve"> Prestación pública de servicios a la comunidad en general</v>
      </c>
      <c r="K36" s="8">
        <v>7.7310372491973187E-2</v>
      </c>
    </row>
    <row r="37" spans="1:11" x14ac:dyDescent="0.4">
      <c r="A37" s="12" t="s">
        <v>340</v>
      </c>
      <c r="B37" s="10">
        <v>141</v>
      </c>
      <c r="C37" s="11" t="s">
        <v>108</v>
      </c>
      <c r="D37" s="12" t="str">
        <f t="shared" si="0"/>
        <v xml:space="preserve"> Confección de prendas de vestir, excepto prendas de piel</v>
      </c>
      <c r="E37" s="31">
        <f>SUMIF(INPUT!$A$2:$A$396,'Output - 3 dígitos'!B37,INPUT!$B$2:$B$396)</f>
        <v>235381387</v>
      </c>
      <c r="F37" s="31">
        <f>SUMIF(INPUT!$A$2:$A$396,'Output - 3 dígitos'!B37,INPUT!$C$2:$C$396)</f>
        <v>16820072</v>
      </c>
      <c r="G37" s="32">
        <f t="shared" si="1"/>
        <v>7.1458802305383651E-2</v>
      </c>
      <c r="J37" s="7" t="str">
        <v xml:space="preserve"> Elaboración de alimentos preparados para animales</v>
      </c>
      <c r="K37" s="8">
        <v>7.5682101416556347E-2</v>
      </c>
    </row>
    <row r="38" spans="1:11" x14ac:dyDescent="0.4">
      <c r="A38" s="12" t="s">
        <v>340</v>
      </c>
      <c r="B38" s="10">
        <v>142</v>
      </c>
      <c r="C38" s="11" t="s">
        <v>109</v>
      </c>
      <c r="D38" s="12" t="str">
        <f t="shared" si="0"/>
        <v xml:space="preserve"> Terminación y teñido de pieles</v>
      </c>
      <c r="E38" s="31">
        <f>SUMIF(INPUT!$A$2:$A$396,'Output - 3 dígitos'!B38,INPUT!$B$2:$B$396)</f>
        <v>129038</v>
      </c>
      <c r="F38" s="31">
        <f>SUMIF(INPUT!$A$2:$A$396,'Output - 3 dígitos'!B38,INPUT!$C$2:$C$396)</f>
        <v>0</v>
      </c>
      <c r="G38" s="32">
        <f t="shared" si="1"/>
        <v>0</v>
      </c>
      <c r="J38" s="7" t="str">
        <v xml:space="preserve"> Servicios personales ncp</v>
      </c>
      <c r="K38" s="8">
        <v>7.5654566327044967E-2</v>
      </c>
    </row>
    <row r="39" spans="1:11" x14ac:dyDescent="0.4">
      <c r="A39" s="12" t="s">
        <v>340</v>
      </c>
      <c r="B39" s="10">
        <v>143</v>
      </c>
      <c r="C39" s="11" t="s">
        <v>107</v>
      </c>
      <c r="D39" s="12" t="str">
        <f t="shared" si="0"/>
        <v>Fabricación de prendas de vestir de punto</v>
      </c>
      <c r="E39" s="31">
        <f>SUMIF(INPUT!$A$2:$A$396,'Output - 3 dígitos'!B39,INPUT!$B$2:$B$396)</f>
        <v>16015308</v>
      </c>
      <c r="F39" s="31">
        <f>SUMIF(INPUT!$A$2:$A$396,'Output - 3 dígitos'!B39,INPUT!$C$2:$C$396)</f>
        <v>935614</v>
      </c>
      <c r="G39" s="32">
        <f t="shared" si="1"/>
        <v>5.8419981682525247E-2</v>
      </c>
      <c r="J39" s="7" t="str">
        <v xml:space="preserve"> Servicios de asesoramiento, dirección y gestión empresarial </v>
      </c>
      <c r="K39" s="8">
        <v>7.5488652569879106E-2</v>
      </c>
    </row>
    <row r="40" spans="1:11" x14ac:dyDescent="0.4">
      <c r="A40" s="12" t="s">
        <v>340</v>
      </c>
      <c r="B40" s="10">
        <v>149</v>
      </c>
      <c r="C40" s="11" t="s">
        <v>30</v>
      </c>
      <c r="D40" s="12" t="str">
        <f t="shared" si="0"/>
        <v xml:space="preserve"> Servicios industriales para la industria confeccionista</v>
      </c>
      <c r="E40" s="31">
        <f>SUMIF(INPUT!$A$2:$A$396,'Output - 3 dígitos'!B40,INPUT!$B$2:$B$396)</f>
        <v>2787748</v>
      </c>
      <c r="F40" s="31">
        <f>SUMIF(INPUT!$A$2:$A$396,'Output - 3 dígitos'!B40,INPUT!$C$2:$C$396)</f>
        <v>559136</v>
      </c>
      <c r="G40" s="32">
        <f t="shared" si="1"/>
        <v>0.2005690614790146</v>
      </c>
      <c r="J40" s="7" t="str">
        <v xml:space="preserve"> Silvicultura</v>
      </c>
      <c r="K40" s="8">
        <v>7.4746289594469661E-2</v>
      </c>
    </row>
    <row r="41" spans="1:11" x14ac:dyDescent="0.4">
      <c r="A41" s="12" t="s">
        <v>340</v>
      </c>
      <c r="B41" s="10">
        <v>151</v>
      </c>
      <c r="C41" s="11" t="s">
        <v>111</v>
      </c>
      <c r="D41" s="12" t="str">
        <f t="shared" si="0"/>
        <v xml:space="preserve"> Curtido y terminación de cueros</v>
      </c>
      <c r="E41" s="31">
        <f>SUMIF(INPUT!$A$2:$A$396,'Output - 3 dígitos'!B41,INPUT!$B$2:$B$396)</f>
        <v>106377644</v>
      </c>
      <c r="F41" s="31">
        <f>SUMIF(INPUT!$A$2:$A$396,'Output - 3 dígitos'!B41,INPUT!$C$2:$C$396)</f>
        <v>38893844</v>
      </c>
      <c r="G41" s="32">
        <f t="shared" si="1"/>
        <v>0.36562046815024407</v>
      </c>
      <c r="J41" s="7" t="str">
        <v xml:space="preserve"> Servicios de organización de convenciones y exposiciones comerciales, excepto culturales y deportivos</v>
      </c>
      <c r="K41" s="8">
        <v>7.4003292519370559E-2</v>
      </c>
    </row>
    <row r="42" spans="1:11" x14ac:dyDescent="0.4">
      <c r="A42" s="12" t="s">
        <v>340</v>
      </c>
      <c r="B42" s="10">
        <v>152</v>
      </c>
      <c r="C42" s="11" t="s">
        <v>110</v>
      </c>
      <c r="D42" s="12" t="str">
        <f t="shared" si="0"/>
        <v xml:space="preserve"> Fabricación de calzado y de sus partes</v>
      </c>
      <c r="E42" s="31">
        <f>SUMIF(INPUT!$A$2:$A$396,'Output - 3 dígitos'!B42,INPUT!$B$2:$B$396)</f>
        <v>89178389</v>
      </c>
      <c r="F42" s="31">
        <f>SUMIF(INPUT!$A$2:$A$396,'Output - 3 dígitos'!B42,INPUT!$C$2:$C$396)</f>
        <v>6361670</v>
      </c>
      <c r="G42" s="32">
        <f t="shared" si="1"/>
        <v>7.1336453498840394E-2</v>
      </c>
      <c r="J42" s="7" t="str">
        <v xml:space="preserve"> Confección de prendas de vestir, excepto prendas de piel</v>
      </c>
      <c r="K42" s="8">
        <v>7.1458802305383651E-2</v>
      </c>
    </row>
    <row r="43" spans="1:11" x14ac:dyDescent="0.4">
      <c r="A43" s="12" t="s">
        <v>349</v>
      </c>
      <c r="B43" s="10">
        <v>161</v>
      </c>
      <c r="C43" s="11" t="s">
        <v>35</v>
      </c>
      <c r="D43" s="12" t="str">
        <f t="shared" si="0"/>
        <v xml:space="preserve"> Aserrado y cepillado de madera</v>
      </c>
      <c r="E43" s="31">
        <f>SUMIF(INPUT!$A$2:$A$396,'Output - 3 dígitos'!B43,INPUT!$B$2:$B$396)</f>
        <v>89243455</v>
      </c>
      <c r="F43" s="31">
        <f>SUMIF(INPUT!$A$2:$A$396,'Output - 3 dígitos'!B43,INPUT!$C$2:$C$396)</f>
        <v>1620280</v>
      </c>
      <c r="G43" s="32">
        <f t="shared" si="1"/>
        <v>1.8155729179243452E-2</v>
      </c>
      <c r="J43" s="7" t="str">
        <v xml:space="preserve"> Fabricación de calzado y de sus partes</v>
      </c>
      <c r="K43" s="8">
        <v>7.1336453498840394E-2</v>
      </c>
    </row>
    <row r="44" spans="1:11" x14ac:dyDescent="0.4">
      <c r="A44" s="12" t="s">
        <v>349</v>
      </c>
      <c r="B44" s="10">
        <v>162</v>
      </c>
      <c r="C44" s="11" t="s">
        <v>112</v>
      </c>
      <c r="D44" s="12" t="str">
        <f t="shared" si="0"/>
        <v xml:space="preserve"> Fabricación de productos de madera, corcho, paja y materiales trenzables</v>
      </c>
      <c r="E44" s="31">
        <f>SUMIF(INPUT!$A$2:$A$396,'Output - 3 dígitos'!B44,INPUT!$B$2:$B$396)</f>
        <v>140538819</v>
      </c>
      <c r="F44" s="31">
        <f>SUMIF(INPUT!$A$2:$A$396,'Output - 3 dígitos'!B44,INPUT!$C$2:$C$396)</f>
        <v>7716001</v>
      </c>
      <c r="G44" s="32">
        <f t="shared" si="1"/>
        <v>5.490298733761239E-2</v>
      </c>
      <c r="J44" s="7" t="str">
        <v xml:space="preserve"> Demolición, movimiento y preparación de terrenos para obras</v>
      </c>
      <c r="K44" s="8">
        <v>7.12048689000183E-2</v>
      </c>
    </row>
    <row r="45" spans="1:11" x14ac:dyDescent="0.4">
      <c r="A45" s="12" t="s">
        <v>349</v>
      </c>
      <c r="B45" s="10">
        <v>170</v>
      </c>
      <c r="C45" s="11" t="s">
        <v>113</v>
      </c>
      <c r="D45" s="12" t="str">
        <f t="shared" si="0"/>
        <v xml:space="preserve"> Fabricación de papel y de productos de papel</v>
      </c>
      <c r="E45" s="31">
        <f>SUMIF(INPUT!$A$2:$A$396,'Output - 3 dígitos'!B45,INPUT!$B$2:$B$396)</f>
        <v>365329486</v>
      </c>
      <c r="F45" s="31">
        <f>SUMIF(INPUT!$A$2:$A$396,'Output - 3 dígitos'!B45,INPUT!$C$2:$C$396)</f>
        <v>43206540</v>
      </c>
      <c r="G45" s="32">
        <f t="shared" si="1"/>
        <v>0.11826732211809479</v>
      </c>
      <c r="J45" s="7" t="str">
        <v xml:space="preserve">Servicios de gestión y logística para el transporte de mercaderías </v>
      </c>
      <c r="K45" s="8">
        <v>6.9024607180961525E-2</v>
      </c>
    </row>
    <row r="46" spans="1:11" x14ac:dyDescent="0.4">
      <c r="A46" s="12" t="s">
        <v>353</v>
      </c>
      <c r="B46" s="10">
        <v>181</v>
      </c>
      <c r="C46" s="11" t="s">
        <v>115</v>
      </c>
      <c r="D46" s="12" t="str">
        <f t="shared" si="0"/>
        <v xml:space="preserve"> Impresión y servicios relacionados con la impresión</v>
      </c>
      <c r="E46" s="31">
        <f>SUMIF(INPUT!$A$2:$A$396,'Output - 3 dígitos'!B46,INPUT!$B$2:$B$396)</f>
        <v>109822983</v>
      </c>
      <c r="F46" s="31">
        <f>SUMIF(INPUT!$A$2:$A$396,'Output - 3 dígitos'!B46,INPUT!$C$2:$C$396)</f>
        <v>10420598</v>
      </c>
      <c r="G46" s="32">
        <f t="shared" si="1"/>
        <v>9.4885402994380516E-2</v>
      </c>
      <c r="J46" s="7" t="str">
        <v xml:space="preserve"> Fabricación de soportes ópticos y magnéticos</v>
      </c>
      <c r="K46" s="8">
        <v>6.7867049707826033E-2</v>
      </c>
    </row>
    <row r="47" spans="1:11" x14ac:dyDescent="0.4">
      <c r="A47" s="12" t="s">
        <v>353</v>
      </c>
      <c r="B47" s="10">
        <v>182</v>
      </c>
      <c r="C47" s="11" t="s">
        <v>114</v>
      </c>
      <c r="D47" s="12" t="str">
        <f t="shared" si="0"/>
        <v xml:space="preserve"> Reproducción de grabaciones</v>
      </c>
      <c r="E47" s="31">
        <f>SUMIF(INPUT!$A$2:$A$396,'Output - 3 dígitos'!B47,INPUT!$B$2:$B$396)</f>
        <v>1908420</v>
      </c>
      <c r="F47" s="31">
        <f>SUMIF(INPUT!$A$2:$A$396,'Output - 3 dígitos'!B47,INPUT!$C$2:$C$396)</f>
        <v>10329</v>
      </c>
      <c r="G47" s="32">
        <f t="shared" si="1"/>
        <v>5.4123306190461216E-3</v>
      </c>
      <c r="J47" s="7" t="str">
        <v>Venta al por mayor de alimentos, bebidas y tabaco</v>
      </c>
      <c r="K47" s="8">
        <v>6.7696636805049615E-2</v>
      </c>
    </row>
    <row r="48" spans="1:11" x14ac:dyDescent="0.4">
      <c r="A48" s="12" t="s">
        <v>356</v>
      </c>
      <c r="B48" s="10">
        <v>191</v>
      </c>
      <c r="C48" s="11" t="s">
        <v>117</v>
      </c>
      <c r="D48" s="12" t="str">
        <f t="shared" si="0"/>
        <v xml:space="preserve"> Fabricación de productos de hornos de coque</v>
      </c>
      <c r="E48" s="31">
        <f>SUMIF(INPUT!$A$2:$A$396,'Output - 3 dígitos'!B48,INPUT!$B$2:$B$396)</f>
        <v>28164302</v>
      </c>
      <c r="F48" s="31">
        <f>SUMIF(INPUT!$A$2:$A$396,'Output - 3 dígitos'!B48,INPUT!$C$2:$C$396)</f>
        <v>2450887</v>
      </c>
      <c r="G48" s="32">
        <f t="shared" si="1"/>
        <v>8.7021045293435642E-2</v>
      </c>
      <c r="J48" s="7" t="str">
        <v xml:space="preserve"> Emisión y retransmisión de radio</v>
      </c>
      <c r="K48" s="8">
        <v>6.6486303715907691E-2</v>
      </c>
    </row>
    <row r="49" spans="1:11" x14ac:dyDescent="0.4">
      <c r="A49" s="12" t="s">
        <v>356</v>
      </c>
      <c r="B49" s="10">
        <v>192</v>
      </c>
      <c r="C49" s="11" t="s">
        <v>116</v>
      </c>
      <c r="D49" s="12" t="str">
        <f t="shared" si="0"/>
        <v xml:space="preserve"> Fabricación de productos de la refinación del petróleo</v>
      </c>
      <c r="E49" s="31">
        <f>SUMIF(INPUT!$A$2:$A$396,'Output - 3 dígitos'!B49,INPUT!$B$2:$B$396)</f>
        <v>2641035912</v>
      </c>
      <c r="F49" s="31">
        <f>SUMIF(INPUT!$A$2:$A$396,'Output - 3 dígitos'!B49,INPUT!$C$2:$C$396)</f>
        <v>34912581</v>
      </c>
      <c r="G49" s="32">
        <f t="shared" si="1"/>
        <v>1.3219275376517485E-2</v>
      </c>
      <c r="J49" s="7" t="str">
        <v xml:space="preserve"> Fabricación de productos textiles ncp</v>
      </c>
      <c r="K49" s="8">
        <v>6.6151745777626142E-2</v>
      </c>
    </row>
    <row r="50" spans="1:11" x14ac:dyDescent="0.4">
      <c r="A50" s="12" t="s">
        <v>359</v>
      </c>
      <c r="B50" s="10">
        <v>201</v>
      </c>
      <c r="C50" s="11" t="s">
        <v>118</v>
      </c>
      <c r="D50" s="12" t="str">
        <f t="shared" si="0"/>
        <v xml:space="preserve"> Fabricación de sustancias químicas básicas</v>
      </c>
      <c r="E50" s="31">
        <f>SUMIF(INPUT!$A$2:$A$396,'Output - 3 dígitos'!B50,INPUT!$B$2:$B$396)</f>
        <v>908216901</v>
      </c>
      <c r="F50" s="31">
        <f>SUMIF(INPUT!$A$2:$A$396,'Output - 3 dígitos'!B50,INPUT!$C$2:$C$396)</f>
        <v>18650123</v>
      </c>
      <c r="G50" s="32">
        <f t="shared" si="1"/>
        <v>2.0534877714194839E-2</v>
      </c>
      <c r="J50" s="7" t="str">
        <v xml:space="preserve"> Servicios auxiliares a los servicios de seguros </v>
      </c>
      <c r="K50" s="8">
        <v>6.4539352612867876E-2</v>
      </c>
    </row>
    <row r="51" spans="1:11" x14ac:dyDescent="0.4">
      <c r="A51" s="12" t="s">
        <v>359</v>
      </c>
      <c r="B51" s="10">
        <v>202</v>
      </c>
      <c r="C51" s="11" t="s">
        <v>119</v>
      </c>
      <c r="D51" s="12" t="str">
        <f t="shared" si="0"/>
        <v xml:space="preserve"> Fabricación de productos químicos ncp</v>
      </c>
      <c r="E51" s="31">
        <f>SUMIF(INPUT!$A$2:$A$396,'Output - 3 dígitos'!B51,INPUT!$B$2:$B$396)</f>
        <v>1211326450</v>
      </c>
      <c r="F51" s="31">
        <f>SUMIF(INPUT!$A$2:$A$396,'Output - 3 dígitos'!B51,INPUT!$C$2:$C$396)</f>
        <v>65656314</v>
      </c>
      <c r="G51" s="32">
        <f t="shared" si="1"/>
        <v>5.4201998148393438E-2</v>
      </c>
      <c r="J51" s="7" t="str">
        <v xml:space="preserve"> Mantenimiento y reparación de vehículos automotores, excepto motocicletas</v>
      </c>
      <c r="K51" s="8">
        <v>6.3690272962970071E-2</v>
      </c>
    </row>
    <row r="52" spans="1:11" x14ac:dyDescent="0.4">
      <c r="A52" s="12" t="s">
        <v>359</v>
      </c>
      <c r="B52" s="10">
        <v>203</v>
      </c>
      <c r="C52" s="11" t="s">
        <v>120</v>
      </c>
      <c r="D52" s="12" t="str">
        <f t="shared" si="0"/>
        <v xml:space="preserve"> Fabricación de fibras manufacturadas</v>
      </c>
      <c r="E52" s="31">
        <f>SUMIF(INPUT!$A$2:$A$396,'Output - 3 dígitos'!B52,INPUT!$B$2:$B$396)</f>
        <v>7231538</v>
      </c>
      <c r="F52" s="31">
        <f>SUMIF(INPUT!$A$2:$A$396,'Output - 3 dígitos'!B52,INPUT!$C$2:$C$396)</f>
        <v>1256141</v>
      </c>
      <c r="G52" s="32">
        <f t="shared" si="1"/>
        <v>0.17370315968746897</v>
      </c>
      <c r="J52" s="7" t="str">
        <v>Venta al por menor de equipos, periféricos,  accesorios y programas informáticos</v>
      </c>
      <c r="K52" s="8">
        <v>6.2904772711788806E-2</v>
      </c>
    </row>
    <row r="53" spans="1:11" x14ac:dyDescent="0.4">
      <c r="A53" s="12" t="s">
        <v>359</v>
      </c>
      <c r="B53" s="10">
        <v>204</v>
      </c>
      <c r="C53" s="11" t="s">
        <v>121</v>
      </c>
      <c r="D53" s="12" t="str">
        <f t="shared" si="0"/>
        <v xml:space="preserve"> Servicios industriales para la fabricación de sustancias y productos químicos</v>
      </c>
      <c r="E53" s="31">
        <f>SUMIF(INPUT!$A$2:$A$396,'Output - 3 dígitos'!B53,INPUT!$B$2:$B$396)</f>
        <v>5843317</v>
      </c>
      <c r="F53" s="31">
        <f>SUMIF(INPUT!$A$2:$A$396,'Output - 3 dígitos'!B53,INPUT!$C$2:$C$396)</f>
        <v>11216</v>
      </c>
      <c r="G53" s="32">
        <f t="shared" si="1"/>
        <v>1.9194577326542442E-3</v>
      </c>
      <c r="J53" s="7" t="str">
        <v>Servicio de transporte fluvial y lacustre</v>
      </c>
      <c r="K53" s="8">
        <v>6.2833100618635992E-2</v>
      </c>
    </row>
    <row r="54" spans="1:11" x14ac:dyDescent="0.4">
      <c r="A54" s="12" t="s">
        <v>359</v>
      </c>
      <c r="B54" s="10">
        <v>210</v>
      </c>
      <c r="C54" s="11" t="s">
        <v>122</v>
      </c>
      <c r="D54" s="12" t="str">
        <f t="shared" si="0"/>
        <v xml:space="preserve"> Fabricación de productos farmaceúticos, sustancias químicas medicinales y productos botánicos de uso farmaceútico</v>
      </c>
      <c r="E54" s="31">
        <f>SUMIF(INPUT!$A$2:$A$396,'Output - 3 dígitos'!B54,INPUT!$B$2:$B$396)</f>
        <v>991923493</v>
      </c>
      <c r="F54" s="31">
        <f>SUMIF(INPUT!$A$2:$A$396,'Output - 3 dígitos'!B54,INPUT!$C$2:$C$396)</f>
        <v>31097887</v>
      </c>
      <c r="G54" s="32">
        <f t="shared" si="1"/>
        <v>3.1351094332836817E-2</v>
      </c>
      <c r="J54" s="7" t="str">
        <v xml:space="preserve"> Servicios de apoyo para la minería, excepto para la extracción de petróleo  y gas natural</v>
      </c>
      <c r="K54" s="8">
        <v>6.2503752444819469E-2</v>
      </c>
    </row>
    <row r="55" spans="1:11" x14ac:dyDescent="0.4">
      <c r="A55" s="12" t="s">
        <v>365</v>
      </c>
      <c r="B55" s="10">
        <v>221</v>
      </c>
      <c r="C55" s="11" t="s">
        <v>124</v>
      </c>
      <c r="D55" s="12" t="str">
        <f t="shared" si="0"/>
        <v xml:space="preserve"> Fabricación de productos de caucho</v>
      </c>
      <c r="E55" s="31">
        <f>SUMIF(INPUT!$A$2:$A$396,'Output - 3 dígitos'!B55,INPUT!$B$2:$B$396)</f>
        <v>63308619</v>
      </c>
      <c r="F55" s="31">
        <f>SUMIF(INPUT!$A$2:$A$396,'Output - 3 dígitos'!B55,INPUT!$C$2:$C$396)</f>
        <v>1679277</v>
      </c>
      <c r="G55" s="32">
        <f t="shared" si="1"/>
        <v>2.6525250850914943E-2</v>
      </c>
      <c r="J55" s="7" t="str">
        <v xml:space="preserve"> Elaboración de bebidas</v>
      </c>
      <c r="K55" s="8">
        <v>6.140297250031225E-2</v>
      </c>
    </row>
    <row r="56" spans="1:11" x14ac:dyDescent="0.4">
      <c r="A56" s="12" t="s">
        <v>365</v>
      </c>
      <c r="B56" s="10">
        <v>222</v>
      </c>
      <c r="C56" s="11" t="s">
        <v>123</v>
      </c>
      <c r="D56" s="12" t="str">
        <f t="shared" si="0"/>
        <v xml:space="preserve"> Fabricación de productos de plástico</v>
      </c>
      <c r="E56" s="31">
        <f>SUMIF(INPUT!$A$2:$A$396,'Output - 3 dígitos'!B56,INPUT!$B$2:$B$396)</f>
        <v>431417018</v>
      </c>
      <c r="F56" s="31">
        <f>SUMIF(INPUT!$A$2:$A$396,'Output - 3 dígitos'!B56,INPUT!$C$2:$C$396)</f>
        <v>8474995</v>
      </c>
      <c r="G56" s="32">
        <f t="shared" si="1"/>
        <v>1.9644554216449572E-2</v>
      </c>
      <c r="J56" s="7" t="str">
        <v xml:space="preserve"> Fabricación de componentes electrónicos</v>
      </c>
      <c r="K56" s="8">
        <v>6.116957917011169E-2</v>
      </c>
    </row>
    <row r="57" spans="1:11" x14ac:dyDescent="0.4">
      <c r="A57" s="12" t="s">
        <v>368</v>
      </c>
      <c r="B57" s="10">
        <v>231</v>
      </c>
      <c r="C57" s="11" t="s">
        <v>126</v>
      </c>
      <c r="D57" s="12" t="str">
        <f t="shared" si="0"/>
        <v xml:space="preserve"> Fabricación de vidrio y productos de vidrio</v>
      </c>
      <c r="E57" s="31">
        <f>SUMIF(INPUT!$A$2:$A$396,'Output - 3 dígitos'!B57,INPUT!$B$2:$B$396)</f>
        <v>70375690</v>
      </c>
      <c r="F57" s="31">
        <f>SUMIF(INPUT!$A$2:$A$396,'Output - 3 dígitos'!B57,INPUT!$C$2:$C$396)</f>
        <v>1914923</v>
      </c>
      <c r="G57" s="32">
        <f t="shared" si="1"/>
        <v>2.7210006750910721E-2</v>
      </c>
      <c r="J57" s="7" t="str">
        <v xml:space="preserve"> Servicios de gestión de fondos a cambio de una retribución o por contrata</v>
      </c>
      <c r="K57" s="8">
        <v>5.8787542836901407E-2</v>
      </c>
    </row>
    <row r="58" spans="1:11" x14ac:dyDescent="0.4">
      <c r="A58" s="12" t="s">
        <v>368</v>
      </c>
      <c r="B58" s="10">
        <v>239</v>
      </c>
      <c r="C58" s="11" t="s">
        <v>125</v>
      </c>
      <c r="D58" s="12" t="str">
        <f t="shared" si="0"/>
        <v xml:space="preserve"> Fabricación de productos minerales no metálicos ncp</v>
      </c>
      <c r="E58" s="31">
        <f>SUMIF(INPUT!$A$2:$A$396,'Output - 3 dígitos'!B58,INPUT!$B$2:$B$396)</f>
        <v>576636871</v>
      </c>
      <c r="F58" s="31">
        <f>SUMIF(INPUT!$A$2:$A$396,'Output - 3 dígitos'!B58,INPUT!$C$2:$C$396)</f>
        <v>24903372</v>
      </c>
      <c r="G58" s="32">
        <f t="shared" si="1"/>
        <v>4.3187269584084573E-2</v>
      </c>
      <c r="J58" s="7" t="str">
        <v>Fabricación de prendas de vestir de punto</v>
      </c>
      <c r="K58" s="8">
        <v>5.8419981682525247E-2</v>
      </c>
    </row>
    <row r="59" spans="1:11" x14ac:dyDescent="0.4">
      <c r="A59" s="12" t="s">
        <v>371</v>
      </c>
      <c r="B59" s="10">
        <v>241</v>
      </c>
      <c r="C59" s="11" t="s">
        <v>128</v>
      </c>
      <c r="D59" s="12" t="str">
        <f t="shared" si="0"/>
        <v xml:space="preserve"> Industrias básicas de hierro y acero</v>
      </c>
      <c r="E59" s="31">
        <f>SUMIF(INPUT!$A$2:$A$396,'Output - 3 dígitos'!B59,INPUT!$B$2:$B$396)</f>
        <v>470760252</v>
      </c>
      <c r="F59" s="31">
        <f>SUMIF(INPUT!$A$2:$A$396,'Output - 3 dígitos'!B59,INPUT!$C$2:$C$396)</f>
        <v>2015159</v>
      </c>
      <c r="G59" s="32">
        <f t="shared" si="1"/>
        <v>4.2806481461395767E-3</v>
      </c>
      <c r="J59" s="7" t="str">
        <v xml:space="preserve"> Servicios de expendio de comidas y bebidas</v>
      </c>
      <c r="K59" s="8">
        <v>5.8402580093180091E-2</v>
      </c>
    </row>
    <row r="60" spans="1:11" x14ac:dyDescent="0.4">
      <c r="A60" s="12" t="s">
        <v>371</v>
      </c>
      <c r="B60" s="10">
        <v>242</v>
      </c>
      <c r="C60" s="11" t="s">
        <v>129</v>
      </c>
      <c r="D60" s="12" t="str">
        <f t="shared" si="0"/>
        <v xml:space="preserve"> Fabricación de productos primarios de metales preciosos y metales no ferrosos</v>
      </c>
      <c r="E60" s="31">
        <f>SUMIF(INPUT!$A$2:$A$396,'Output - 3 dígitos'!B60,INPUT!$B$2:$B$396)</f>
        <v>238815019</v>
      </c>
      <c r="F60" s="31">
        <f>SUMIF(INPUT!$A$2:$A$396,'Output - 3 dígitos'!B60,INPUT!$C$2:$C$396)</f>
        <v>278630</v>
      </c>
      <c r="G60" s="32">
        <f t="shared" si="1"/>
        <v>1.1667189156139297E-3</v>
      </c>
      <c r="J60" s="7" t="str">
        <v>Servicios de correos y mensajerías</v>
      </c>
      <c r="K60" s="8">
        <v>5.7943340054361768E-2</v>
      </c>
    </row>
    <row r="61" spans="1:11" x14ac:dyDescent="0.4">
      <c r="A61" s="12" t="s">
        <v>371</v>
      </c>
      <c r="B61" s="10">
        <v>243</v>
      </c>
      <c r="C61" s="11" t="s">
        <v>127</v>
      </c>
      <c r="D61" s="12" t="str">
        <f t="shared" si="0"/>
        <v xml:space="preserve"> Fundición de metales</v>
      </c>
      <c r="E61" s="31">
        <f>SUMIF(INPUT!$A$2:$A$396,'Output - 3 dígitos'!B61,INPUT!$B$2:$B$396)</f>
        <v>131058134</v>
      </c>
      <c r="F61" s="31">
        <f>SUMIF(INPUT!$A$2:$A$396,'Output - 3 dígitos'!B61,INPUT!$C$2:$C$396)</f>
        <v>1499678</v>
      </c>
      <c r="G61" s="32">
        <f t="shared" si="1"/>
        <v>1.1442845661147595E-2</v>
      </c>
      <c r="J61" s="7" t="str">
        <v xml:space="preserve"> Construcción de edificios y sus partes </v>
      </c>
      <c r="K61" s="8">
        <v>5.7221069291499851E-2</v>
      </c>
    </row>
    <row r="62" spans="1:11" x14ac:dyDescent="0.4">
      <c r="A62" s="12" t="s">
        <v>375</v>
      </c>
      <c r="B62" s="10">
        <v>251</v>
      </c>
      <c r="C62" s="11" t="s">
        <v>131</v>
      </c>
      <c r="D62" s="12" t="str">
        <f t="shared" si="0"/>
        <v xml:space="preserve"> Fabricación de productos metálicos para uso estructural, tanques, depósitos y generadores de vapor</v>
      </c>
      <c r="E62" s="31">
        <f>SUMIF(INPUT!$A$2:$A$396,'Output - 3 dígitos'!B62,INPUT!$B$2:$B$396)</f>
        <v>140023539</v>
      </c>
      <c r="F62" s="31">
        <f>SUMIF(INPUT!$A$2:$A$396,'Output - 3 dígitos'!B62,INPUT!$C$2:$C$396)</f>
        <v>4945843</v>
      </c>
      <c r="G62" s="32">
        <f t="shared" si="1"/>
        <v>3.5321511192485999E-2</v>
      </c>
      <c r="J62" s="7" t="str">
        <v xml:space="preserve"> Fabricación  de hilados y  tejidos, acabado de productos textiles</v>
      </c>
      <c r="K62" s="8">
        <v>5.6459978704525356E-2</v>
      </c>
    </row>
    <row r="63" spans="1:11" x14ac:dyDescent="0.4">
      <c r="A63" s="12" t="s">
        <v>375</v>
      </c>
      <c r="B63" s="10">
        <v>252</v>
      </c>
      <c r="C63" s="11" t="s">
        <v>132</v>
      </c>
      <c r="D63" s="12" t="str">
        <f t="shared" si="0"/>
        <v xml:space="preserve"> Fabricación de armas y municiones</v>
      </c>
      <c r="E63" s="31">
        <f>SUMIF(INPUT!$A$2:$A$396,'Output - 3 dígitos'!B63,INPUT!$B$2:$B$396)</f>
        <v>282727</v>
      </c>
      <c r="F63" s="31">
        <f>SUMIF(INPUT!$A$2:$A$396,'Output - 3 dígitos'!B63,INPUT!$C$2:$C$396)</f>
        <v>0</v>
      </c>
      <c r="G63" s="32">
        <f t="shared" si="1"/>
        <v>0</v>
      </c>
      <c r="J63" s="7" t="str">
        <v xml:space="preserve"> Servicios de agencias de viaje y otras actividades complementarias de apoyo turístico</v>
      </c>
      <c r="K63" s="8">
        <v>5.5242469465870053E-2</v>
      </c>
    </row>
    <row r="64" spans="1:11" x14ac:dyDescent="0.4">
      <c r="A64" s="12" t="s">
        <v>375</v>
      </c>
      <c r="B64" s="10">
        <v>259</v>
      </c>
      <c r="C64" s="11" t="s">
        <v>130</v>
      </c>
      <c r="D64" s="12" t="str">
        <f t="shared" si="0"/>
        <v xml:space="preserve"> Fabricación de productos elaborados de metal ncp</v>
      </c>
      <c r="E64" s="31">
        <f>SUMIF(INPUT!$A$2:$A$396,'Output - 3 dígitos'!B64,INPUT!$B$2:$B$396)</f>
        <v>443677861</v>
      </c>
      <c r="F64" s="31">
        <f>SUMIF(INPUT!$A$2:$A$396,'Output - 3 dígitos'!B64,INPUT!$C$2:$C$396)</f>
        <v>8486541</v>
      </c>
      <c r="G64" s="32">
        <f t="shared" si="1"/>
        <v>1.9127708966303371E-2</v>
      </c>
      <c r="J64" s="7" t="str">
        <v xml:space="preserve"> Servicios de apoyo a la educación</v>
      </c>
      <c r="K64" s="8">
        <v>5.5164824192131479E-2</v>
      </c>
    </row>
    <row r="65" spans="1:11" x14ac:dyDescent="0.4">
      <c r="A65" s="12" t="s">
        <v>375</v>
      </c>
      <c r="B65" s="10">
        <v>261</v>
      </c>
      <c r="C65" s="11" t="s">
        <v>133</v>
      </c>
      <c r="D65" s="12" t="str">
        <f t="shared" si="0"/>
        <v xml:space="preserve"> Fabricación de componentes electrónicos</v>
      </c>
      <c r="E65" s="31">
        <f>SUMIF(INPUT!$A$2:$A$396,'Output - 3 dígitos'!B65,INPUT!$B$2:$B$396)</f>
        <v>11060645</v>
      </c>
      <c r="F65" s="31">
        <f>SUMIF(INPUT!$A$2:$A$396,'Output - 3 dígitos'!B65,INPUT!$C$2:$C$396)</f>
        <v>676575</v>
      </c>
      <c r="G65" s="32">
        <f t="shared" si="1"/>
        <v>6.116957917011169E-2</v>
      </c>
      <c r="J65" s="7" t="str">
        <v xml:space="preserve"> Fabricación de productos de madera, corcho, paja y materiales trenzables</v>
      </c>
      <c r="K65" s="8">
        <v>5.490298733761239E-2</v>
      </c>
    </row>
    <row r="66" spans="1:11" x14ac:dyDescent="0.4">
      <c r="A66" s="12" t="s">
        <v>375</v>
      </c>
      <c r="B66" s="10">
        <v>262</v>
      </c>
      <c r="C66" s="11" t="s">
        <v>134</v>
      </c>
      <c r="D66" s="12" t="str">
        <f t="shared" si="0"/>
        <v xml:space="preserve"> Fabricación de equipos y productos informáticos</v>
      </c>
      <c r="E66" s="31">
        <f>SUMIF(INPUT!$A$2:$A$396,'Output - 3 dígitos'!B66,INPUT!$B$2:$B$396)</f>
        <v>94531966</v>
      </c>
      <c r="F66" s="31">
        <f>SUMIF(INPUT!$A$2:$A$396,'Output - 3 dígitos'!B66,INPUT!$C$2:$C$396)</f>
        <v>1381392</v>
      </c>
      <c r="G66" s="32">
        <f t="shared" si="1"/>
        <v>1.461296171498221E-2</v>
      </c>
      <c r="J66" s="7" t="str">
        <v xml:space="preserve"> Fabricación de productos químicos ncp</v>
      </c>
      <c r="K66" s="8">
        <v>5.4201998148393438E-2</v>
      </c>
    </row>
    <row r="67" spans="1:11" x14ac:dyDescent="0.4">
      <c r="A67" s="12" t="s">
        <v>375</v>
      </c>
      <c r="B67" s="10">
        <v>263</v>
      </c>
      <c r="C67" s="11" t="s">
        <v>136</v>
      </c>
      <c r="D67" s="12" t="str">
        <f t="shared" ref="D67:D130" si="2">SUBSTITUTE(SUBSTITUTE(SUBSTITUTE(SUBSTITUTE(SUBSTITUTE(SUBSTITUTE(SUBSTITUTE(C67,"Ã¡","á"),"Ã©","é"),"Ã­","í"),"Ã³","ó"),"Ãº","ú"),"Ã±","ñ"),"Ã","í")</f>
        <v xml:space="preserve"> Fabricación  de equipos de comunicaciones y transmisores de radio y televisión</v>
      </c>
      <c r="E67" s="31">
        <f>SUMIF(INPUT!$A$2:$A$396,'Output - 3 dígitos'!B67,INPUT!$B$2:$B$396)</f>
        <v>193960277</v>
      </c>
      <c r="F67" s="31">
        <f>SUMIF(INPUT!$A$2:$A$396,'Output - 3 dígitos'!B67,INPUT!$C$2:$C$396)</f>
        <v>460132</v>
      </c>
      <c r="G67" s="32">
        <f t="shared" ref="G67:G130" si="3">F67/E67</f>
        <v>2.3723001797940307E-3</v>
      </c>
      <c r="J67" s="7" t="str">
        <v xml:space="preserve"> Servicios de alojamiento, excepto en camping</v>
      </c>
      <c r="K67" s="8">
        <v>5.384766196565742E-2</v>
      </c>
    </row>
    <row r="68" spans="1:11" x14ac:dyDescent="0.4">
      <c r="A68" s="12" t="s">
        <v>375</v>
      </c>
      <c r="B68" s="10">
        <v>264</v>
      </c>
      <c r="C68" s="11" t="s">
        <v>140</v>
      </c>
      <c r="D68" s="12" t="str">
        <f t="shared" si="2"/>
        <v xml:space="preserve"> Fabricación de receptores de radio y televisión, aparatos de grabación y reproducción de sonido y video, y productos conexos</v>
      </c>
      <c r="E68" s="31">
        <f>SUMIF(INPUT!$A$2:$A$396,'Output - 3 dígitos'!B68,INPUT!$B$2:$B$396)</f>
        <v>639650884</v>
      </c>
      <c r="F68" s="31">
        <f>SUMIF(INPUT!$A$2:$A$396,'Output - 3 dígitos'!B68,INPUT!$C$2:$C$396)</f>
        <v>8384</v>
      </c>
      <c r="G68" s="32">
        <f t="shared" si="3"/>
        <v>1.3107149868333489E-5</v>
      </c>
      <c r="J68" s="7" t="str">
        <v xml:space="preserve"> Servicios de enseñanza ncp</v>
      </c>
      <c r="K68" s="8">
        <v>5.3632286604404847E-2</v>
      </c>
    </row>
    <row r="69" spans="1:11" x14ac:dyDescent="0.4">
      <c r="A69" s="12" t="s">
        <v>375</v>
      </c>
      <c r="B69" s="10">
        <v>265</v>
      </c>
      <c r="C69" s="11" t="s">
        <v>135</v>
      </c>
      <c r="D69" s="12" t="str">
        <f t="shared" si="2"/>
        <v xml:space="preserve"> Fabricación de aparatos e instrumentos para medir, verificar, ensayar, navegar y otros fines, excepto instrumentos de óptica</v>
      </c>
      <c r="E69" s="31">
        <f>SUMIF(INPUT!$A$2:$A$396,'Output - 3 dígitos'!B69,INPUT!$B$2:$B$396)</f>
        <v>11353819</v>
      </c>
      <c r="F69" s="31">
        <f>SUMIF(INPUT!$A$2:$A$396,'Output - 3 dígitos'!B69,INPUT!$C$2:$C$396)</f>
        <v>179703</v>
      </c>
      <c r="G69" s="32">
        <f t="shared" si="3"/>
        <v>1.5827537853122374E-2</v>
      </c>
      <c r="J69" s="7" t="str">
        <v xml:space="preserve"> Reparación y mantenimiento de equipos informáticos y equipos de comunicación</v>
      </c>
      <c r="K69" s="8">
        <v>5.288143984389812E-2</v>
      </c>
    </row>
    <row r="70" spans="1:11" x14ac:dyDescent="0.4">
      <c r="A70" s="12" t="s">
        <v>375</v>
      </c>
      <c r="B70" s="10">
        <v>266</v>
      </c>
      <c r="C70" s="11" t="s">
        <v>138</v>
      </c>
      <c r="D70" s="12" t="str">
        <f t="shared" si="2"/>
        <v xml:space="preserve"> Fabricación de equipo médico y quirúrgico y de aparatos ortopédicos </v>
      </c>
      <c r="E70" s="31">
        <f>SUMIF(INPUT!$A$2:$A$396,'Output - 3 dígitos'!B70,INPUT!$B$2:$B$396)</f>
        <v>36439025</v>
      </c>
      <c r="F70" s="31">
        <f>SUMIF(INPUT!$A$2:$A$396,'Output - 3 dígitos'!B70,INPUT!$C$2:$C$396)</f>
        <v>492646</v>
      </c>
      <c r="G70" s="32">
        <f t="shared" si="3"/>
        <v>1.3519736052213252E-2</v>
      </c>
      <c r="J70" s="7" t="str">
        <v xml:space="preserve"> Enseñanza secundaria</v>
      </c>
      <c r="K70" s="8">
        <v>5.2553342914653307E-2</v>
      </c>
    </row>
    <row r="71" spans="1:11" x14ac:dyDescent="0.4">
      <c r="A71" s="12" t="s">
        <v>375</v>
      </c>
      <c r="B71" s="10">
        <v>267</v>
      </c>
      <c r="C71" s="11" t="s">
        <v>139</v>
      </c>
      <c r="D71" s="12" t="str">
        <f t="shared" si="2"/>
        <v xml:space="preserve"> Fabricación de instrumentos de óptica y equipo fotográfico</v>
      </c>
      <c r="E71" s="31">
        <f>SUMIF(INPUT!$A$2:$A$396,'Output - 3 dígitos'!B71,INPUT!$B$2:$B$396)</f>
        <v>8591452</v>
      </c>
      <c r="F71" s="31">
        <f>SUMIF(INPUT!$A$2:$A$396,'Output - 3 dígitos'!B71,INPUT!$C$2:$C$396)</f>
        <v>27234</v>
      </c>
      <c r="G71" s="32">
        <f t="shared" si="3"/>
        <v>3.169894914154208E-3</v>
      </c>
      <c r="J71" s="7" t="str">
        <v>Venta al por menor de productos ncp, en comercios especializados</v>
      </c>
      <c r="K71" s="8">
        <v>5.1917286054009221E-2</v>
      </c>
    </row>
    <row r="72" spans="1:11" x14ac:dyDescent="0.4">
      <c r="A72" s="12" t="s">
        <v>375</v>
      </c>
      <c r="B72" s="10">
        <v>268</v>
      </c>
      <c r="C72" s="11" t="s">
        <v>137</v>
      </c>
      <c r="D72" s="12" t="str">
        <f t="shared" si="2"/>
        <v xml:space="preserve"> Fabricación de soportes ópticos y magnéticos</v>
      </c>
      <c r="E72" s="31">
        <f>SUMIF(INPUT!$A$2:$A$396,'Output - 3 dígitos'!B72,INPUT!$B$2:$B$396)</f>
        <v>12640243</v>
      </c>
      <c r="F72" s="31">
        <f>SUMIF(INPUT!$A$2:$A$396,'Output - 3 dígitos'!B72,INPUT!$C$2:$C$396)</f>
        <v>857856</v>
      </c>
      <c r="G72" s="32">
        <f t="shared" si="3"/>
        <v>6.7867049707826033E-2</v>
      </c>
      <c r="J72" s="7" t="str">
        <v xml:space="preserve"> Servicios de apoyo agrícolas y pecuarios</v>
      </c>
      <c r="K72" s="8">
        <v>5.1543492407469339E-2</v>
      </c>
    </row>
    <row r="73" spans="1:11" x14ac:dyDescent="0.4">
      <c r="A73" s="12" t="s">
        <v>375</v>
      </c>
      <c r="B73" s="10">
        <v>271</v>
      </c>
      <c r="C73" s="11" t="s">
        <v>141</v>
      </c>
      <c r="D73" s="12" t="str">
        <f t="shared" si="2"/>
        <v xml:space="preserve"> Fabricación de motores, generadores y transformadores eléctricos y aparatos de distribución  y control de la energía eléctrica</v>
      </c>
      <c r="E73" s="31">
        <f>SUMIF(INPUT!$A$2:$A$396,'Output - 3 dígitos'!B73,INPUT!$B$2:$B$396)</f>
        <v>65194044</v>
      </c>
      <c r="F73" s="31">
        <f>SUMIF(INPUT!$A$2:$A$396,'Output - 3 dígitos'!B73,INPUT!$C$2:$C$396)</f>
        <v>8721403</v>
      </c>
      <c r="G73" s="32">
        <f t="shared" si="3"/>
        <v>0.13377607009621922</v>
      </c>
      <c r="J73" s="7" t="str">
        <v xml:space="preserve"> Instalaciones para edificios y obras de ingeniería civil</v>
      </c>
      <c r="K73" s="8">
        <v>5.0080977106976746E-2</v>
      </c>
    </row>
    <row r="74" spans="1:11" x14ac:dyDescent="0.4">
      <c r="A74" s="12" t="s">
        <v>375</v>
      </c>
      <c r="B74" s="10">
        <v>272</v>
      </c>
      <c r="C74" s="11" t="s">
        <v>145</v>
      </c>
      <c r="D74" s="12" t="str">
        <f t="shared" si="2"/>
        <v>Fabricación de acumuladores,  pilas y baterías primarias</v>
      </c>
      <c r="E74" s="31">
        <f>SUMIF(INPUT!$A$2:$A$396,'Output - 3 dígitos'!B74,INPUT!$B$2:$B$396)</f>
        <v>33630099</v>
      </c>
      <c r="F74" s="31">
        <f>SUMIF(INPUT!$A$2:$A$396,'Output - 3 dígitos'!B74,INPUT!$C$2:$C$396)</f>
        <v>2969356</v>
      </c>
      <c r="G74" s="32">
        <f t="shared" si="3"/>
        <v>8.8294595861879557E-2</v>
      </c>
      <c r="J74" s="7" t="str">
        <v>Venta al por menor de bienes culturales y recreativos en comercios especializados</v>
      </c>
      <c r="K74" s="8">
        <v>4.8615493104467306E-2</v>
      </c>
    </row>
    <row r="75" spans="1:11" x14ac:dyDescent="0.4">
      <c r="A75" s="12" t="s">
        <v>375</v>
      </c>
      <c r="B75" s="10">
        <v>273</v>
      </c>
      <c r="C75" s="11" t="s">
        <v>142</v>
      </c>
      <c r="D75" s="12" t="str">
        <f t="shared" si="2"/>
        <v xml:space="preserve"> Fabricación de hilos y cables aislados</v>
      </c>
      <c r="E75" s="31">
        <f>SUMIF(INPUT!$A$2:$A$396,'Output - 3 dígitos'!B75,INPUT!$B$2:$B$396)</f>
        <v>34868414</v>
      </c>
      <c r="F75" s="31">
        <f>SUMIF(INPUT!$A$2:$A$396,'Output - 3 dígitos'!B75,INPUT!$C$2:$C$396)</f>
        <v>5084</v>
      </c>
      <c r="G75" s="32">
        <f t="shared" si="3"/>
        <v>1.4580531251005567E-4</v>
      </c>
      <c r="J75" s="7" t="str">
        <v xml:space="preserve"> Servicios de publicidad</v>
      </c>
      <c r="K75" s="8">
        <v>4.8536598916079046E-2</v>
      </c>
    </row>
    <row r="76" spans="1:11" x14ac:dyDescent="0.4">
      <c r="A76" s="12" t="s">
        <v>375</v>
      </c>
      <c r="B76" s="10">
        <v>274</v>
      </c>
      <c r="C76" s="11" t="s">
        <v>144</v>
      </c>
      <c r="D76" s="12" t="str">
        <f t="shared" si="2"/>
        <v xml:space="preserve"> Fabricación de lámparas eléctricas y equipo de iluminación</v>
      </c>
      <c r="E76" s="31">
        <f>SUMIF(INPUT!$A$2:$A$396,'Output - 3 dígitos'!B76,INPUT!$B$2:$B$396)</f>
        <v>58903385</v>
      </c>
      <c r="F76" s="31">
        <f>SUMIF(INPUT!$A$2:$A$396,'Output - 3 dígitos'!B76,INPUT!$C$2:$C$396)</f>
        <v>423916</v>
      </c>
      <c r="G76" s="32">
        <f t="shared" si="3"/>
        <v>7.1968020174052816E-3</v>
      </c>
      <c r="J76" s="7" t="str">
        <v>Venta al por mayor en comisión o consignación</v>
      </c>
      <c r="K76" s="8">
        <v>4.8097433216659866E-2</v>
      </c>
    </row>
    <row r="77" spans="1:11" x14ac:dyDescent="0.4">
      <c r="A77" s="12" t="s">
        <v>375</v>
      </c>
      <c r="B77" s="10">
        <v>275</v>
      </c>
      <c r="C77" s="11" t="s">
        <v>143</v>
      </c>
      <c r="D77" s="12" t="str">
        <f t="shared" si="2"/>
        <v xml:space="preserve"> Fabricación de aparatos de uso doméstico ncp</v>
      </c>
      <c r="E77" s="31">
        <f>SUMIF(INPUT!$A$2:$A$396,'Output - 3 dígitos'!B77,INPUT!$B$2:$B$396)</f>
        <v>456571188</v>
      </c>
      <c r="F77" s="31">
        <f>SUMIF(INPUT!$A$2:$A$396,'Output - 3 dígitos'!B77,INPUT!$C$2:$C$396)</f>
        <v>756352</v>
      </c>
      <c r="G77" s="32">
        <f t="shared" si="3"/>
        <v>1.6565916112954548E-3</v>
      </c>
      <c r="J77" s="7" t="str">
        <v xml:space="preserve"> Obras de ingeniería civil ncp</v>
      </c>
      <c r="K77" s="8">
        <v>4.7278395432559267E-2</v>
      </c>
    </row>
    <row r="78" spans="1:11" x14ac:dyDescent="0.4">
      <c r="A78" s="12" t="s">
        <v>375</v>
      </c>
      <c r="B78" s="10">
        <v>279</v>
      </c>
      <c r="C78" s="11" t="s">
        <v>146</v>
      </c>
      <c r="D78" s="12" t="str">
        <f t="shared" si="2"/>
        <v xml:space="preserve"> Fabricación  de equipo eléctrico ncp</v>
      </c>
      <c r="E78" s="31">
        <f>SUMIF(INPUT!$A$2:$A$396,'Output - 3 dígitos'!B78,INPUT!$B$2:$B$396)</f>
        <v>60257051</v>
      </c>
      <c r="F78" s="31">
        <f>SUMIF(INPUT!$A$2:$A$396,'Output - 3 dígitos'!B78,INPUT!$C$2:$C$396)</f>
        <v>617426</v>
      </c>
      <c r="G78" s="32">
        <f t="shared" si="3"/>
        <v>1.0246535297587E-2</v>
      </c>
      <c r="J78" s="7" t="str">
        <v xml:space="preserve"> Extracción de minerales de hierro</v>
      </c>
      <c r="K78" s="8">
        <v>4.650836059874365E-2</v>
      </c>
    </row>
    <row r="79" spans="1:11" x14ac:dyDescent="0.4">
      <c r="A79" s="12" t="s">
        <v>375</v>
      </c>
      <c r="B79" s="10">
        <v>281</v>
      </c>
      <c r="C79" s="11" t="s">
        <v>147</v>
      </c>
      <c r="D79" s="12" t="str">
        <f t="shared" si="2"/>
        <v xml:space="preserve"> Fabricación de maquinaria y equipo de uso general</v>
      </c>
      <c r="E79" s="31">
        <f>SUMIF(INPUT!$A$2:$A$396,'Output - 3 dígitos'!B79,INPUT!$B$2:$B$396)</f>
        <v>405686639</v>
      </c>
      <c r="F79" s="31">
        <f>SUMIF(INPUT!$A$2:$A$396,'Output - 3 dígitos'!B79,INPUT!$C$2:$C$396)</f>
        <v>2090054</v>
      </c>
      <c r="G79" s="32">
        <f t="shared" si="3"/>
        <v>5.151892616310689E-3</v>
      </c>
      <c r="J79" s="7" t="str">
        <v>Venta al por mayor especializada</v>
      </c>
      <c r="K79" s="8">
        <v>4.5640254719593508E-2</v>
      </c>
    </row>
    <row r="80" spans="1:11" x14ac:dyDescent="0.4">
      <c r="A80" s="12" t="s">
        <v>375</v>
      </c>
      <c r="B80" s="10">
        <v>282</v>
      </c>
      <c r="C80" s="11" t="s">
        <v>148</v>
      </c>
      <c r="D80" s="12" t="str">
        <f t="shared" si="2"/>
        <v xml:space="preserve"> Fabricación de maquinaria y equipo de uso especial</v>
      </c>
      <c r="E80" s="31">
        <f>SUMIF(INPUT!$A$2:$A$396,'Output - 3 dígitos'!B80,INPUT!$B$2:$B$396)</f>
        <v>556109231</v>
      </c>
      <c r="F80" s="31">
        <f>SUMIF(INPUT!$A$2:$A$396,'Output - 3 dígitos'!B80,INPUT!$C$2:$C$396)</f>
        <v>2387188</v>
      </c>
      <c r="G80" s="32">
        <f t="shared" si="3"/>
        <v>4.2926602669539219E-3</v>
      </c>
      <c r="J80" s="7" t="str">
        <v xml:space="preserve"> Servicios de arquitectura e ingeniería y servicios técnicos ncp</v>
      </c>
      <c r="K80" s="8">
        <v>4.5484834060789799E-2</v>
      </c>
    </row>
    <row r="81" spans="1:11" x14ac:dyDescent="0.4">
      <c r="A81" s="12" t="s">
        <v>395</v>
      </c>
      <c r="B81" s="10">
        <v>291</v>
      </c>
      <c r="C81" s="11" t="s">
        <v>150</v>
      </c>
      <c r="D81" s="12" t="str">
        <f t="shared" si="2"/>
        <v xml:space="preserve"> Fabricación de vehículos automotores</v>
      </c>
      <c r="E81" s="31">
        <f>SUMIF(INPUT!$A$2:$A$396,'Output - 3 dígitos'!B81,INPUT!$B$2:$B$396)</f>
        <v>2209547732</v>
      </c>
      <c r="F81" s="31">
        <f>SUMIF(INPUT!$A$2:$A$396,'Output - 3 dígitos'!B81,INPUT!$C$2:$C$396)</f>
        <v>713276</v>
      </c>
      <c r="G81" s="32">
        <f t="shared" si="3"/>
        <v>3.2281538419374594E-4</v>
      </c>
      <c r="J81" s="7" t="str">
        <v xml:space="preserve"> Venta, mantenimiento y reparación de motocicletas y de sus partes, piezas y accesorios</v>
      </c>
      <c r="K81" s="8">
        <v>4.5400465980824783E-2</v>
      </c>
    </row>
    <row r="82" spans="1:11" x14ac:dyDescent="0.4">
      <c r="A82" s="12" t="s">
        <v>395</v>
      </c>
      <c r="B82" s="10">
        <v>292</v>
      </c>
      <c r="C82" s="11" t="s">
        <v>151</v>
      </c>
      <c r="D82" s="12" t="str">
        <f t="shared" si="2"/>
        <v xml:space="preserve"> Fabricación  de  carrocerías  para  vehículos  automotores</v>
      </c>
      <c r="E82" s="31">
        <f>SUMIF(INPUT!$A$2:$A$396,'Output - 3 dígitos'!B82,INPUT!$B$2:$B$396)</f>
        <v>173217451</v>
      </c>
      <c r="F82" s="31">
        <f>SUMIF(INPUT!$A$2:$A$396,'Output - 3 dígitos'!B82,INPUT!$C$2:$C$396)</f>
        <v>257051</v>
      </c>
      <c r="G82" s="32">
        <f t="shared" si="3"/>
        <v>1.4839786552453078E-3</v>
      </c>
      <c r="J82" s="7" t="str">
        <v xml:space="preserve"> Alquiler de equipo de construcción o demolición dotado de operarios y actividades especializadas de construcción ncp</v>
      </c>
      <c r="K82" s="8">
        <v>4.5326946943819432E-2</v>
      </c>
    </row>
    <row r="83" spans="1:11" x14ac:dyDescent="0.4">
      <c r="A83" s="12" t="s">
        <v>395</v>
      </c>
      <c r="B83" s="10">
        <v>293</v>
      </c>
      <c r="C83" s="11" t="s">
        <v>149</v>
      </c>
      <c r="D83" s="12" t="str">
        <f t="shared" si="2"/>
        <v xml:space="preserve"> Fabricación de partes, piezas y accesorios para vehículos automotores y sus motores</v>
      </c>
      <c r="E83" s="31">
        <f>SUMIF(INPUT!$A$2:$A$396,'Output - 3 dígitos'!B83,INPUT!$B$2:$B$396)</f>
        <v>223093344</v>
      </c>
      <c r="F83" s="31">
        <f>SUMIF(INPUT!$A$2:$A$396,'Output - 3 dígitos'!B83,INPUT!$C$2:$C$396)</f>
        <v>2690352</v>
      </c>
      <c r="G83" s="32">
        <f t="shared" si="3"/>
        <v>1.2059310922337512E-2</v>
      </c>
      <c r="J83" s="7" t="str">
        <v xml:space="preserve"> Pesca y servicios de apoyo</v>
      </c>
      <c r="K83" s="8">
        <v>4.5287614051745917E-2</v>
      </c>
    </row>
    <row r="84" spans="1:11" x14ac:dyDescent="0.4">
      <c r="A84" s="12" t="s">
        <v>395</v>
      </c>
      <c r="B84" s="10">
        <v>301</v>
      </c>
      <c r="C84" s="11" t="s">
        <v>153</v>
      </c>
      <c r="D84" s="12" t="str">
        <f t="shared" si="2"/>
        <v xml:space="preserve"> Construcción y reparación de buques y embarcaciones</v>
      </c>
      <c r="E84" s="31">
        <f>SUMIF(INPUT!$A$2:$A$396,'Output - 3 dígitos'!B84,INPUT!$B$2:$B$396)</f>
        <v>14679298</v>
      </c>
      <c r="F84" s="31">
        <f>SUMIF(INPUT!$A$2:$A$396,'Output - 3 dígitos'!B84,INPUT!$C$2:$C$396)</f>
        <v>200800</v>
      </c>
      <c r="G84" s="32">
        <f t="shared" si="3"/>
        <v>1.3679128252590825E-2</v>
      </c>
      <c r="J84" s="7" t="str">
        <v xml:space="preserve"> Servicios de call center</v>
      </c>
      <c r="K84" s="8">
        <v>4.4846633738545603E-2</v>
      </c>
    </row>
    <row r="85" spans="1:11" x14ac:dyDescent="0.4">
      <c r="A85" s="12" t="s">
        <v>395</v>
      </c>
      <c r="B85" s="10">
        <v>302</v>
      </c>
      <c r="C85" s="11" t="s">
        <v>154</v>
      </c>
      <c r="D85" s="12" t="str">
        <f t="shared" si="2"/>
        <v xml:space="preserve"> Fabricación y reparación de locomotoras y de material rodante para transporte ferroviario</v>
      </c>
      <c r="E85" s="31">
        <f>SUMIF(INPUT!$A$2:$A$396,'Output - 3 dígitos'!B85,INPUT!$B$2:$B$396)</f>
        <v>846674</v>
      </c>
      <c r="F85" s="31">
        <f>SUMIF(INPUT!$A$2:$A$396,'Output - 3 dígitos'!B85,INPUT!$C$2:$C$396)</f>
        <v>446344</v>
      </c>
      <c r="G85" s="32">
        <f t="shared" si="3"/>
        <v>0.52717338668720193</v>
      </c>
      <c r="J85" s="7" t="str">
        <v xml:space="preserve"> Servicios  relacionados con juegos de azar y apuestas</v>
      </c>
      <c r="K85" s="8">
        <v>4.3662817303708919E-2</v>
      </c>
    </row>
    <row r="86" spans="1:11" x14ac:dyDescent="0.4">
      <c r="A86" s="12" t="s">
        <v>395</v>
      </c>
      <c r="B86" s="10">
        <v>303</v>
      </c>
      <c r="C86" s="11" t="s">
        <v>155</v>
      </c>
      <c r="D86" s="12" t="str">
        <f t="shared" si="2"/>
        <v xml:space="preserve"> Fabricación y reparación de aeronaves </v>
      </c>
      <c r="E86" s="31">
        <f>SUMIF(INPUT!$A$2:$A$396,'Output - 3 dígitos'!B86,INPUT!$B$2:$B$396)</f>
        <v>21600133</v>
      </c>
      <c r="F86" s="31">
        <f>SUMIF(INPUT!$A$2:$A$396,'Output - 3 dígitos'!B86,INPUT!$C$2:$C$396)</f>
        <v>861</v>
      </c>
      <c r="G86" s="32">
        <f t="shared" si="3"/>
        <v>3.9860865671521562E-5</v>
      </c>
      <c r="J86" s="7" t="str">
        <v xml:space="preserve"> Fabricación de productos minerales no metálicos ncp</v>
      </c>
      <c r="K86" s="8">
        <v>4.3187269584084573E-2</v>
      </c>
    </row>
    <row r="87" spans="1:11" x14ac:dyDescent="0.4">
      <c r="A87" s="12" t="s">
        <v>395</v>
      </c>
      <c r="B87" s="10">
        <v>309</v>
      </c>
      <c r="C87" s="11" t="s">
        <v>152</v>
      </c>
      <c r="D87" s="12" t="str">
        <f t="shared" si="2"/>
        <v xml:space="preserve"> Fabricación de equipo de transporte ncp</v>
      </c>
      <c r="E87" s="31">
        <f>SUMIF(INPUT!$A$2:$A$396,'Output - 3 dígitos'!B87,INPUT!$B$2:$B$396)</f>
        <v>189176301</v>
      </c>
      <c r="F87" s="31">
        <f>SUMIF(INPUT!$A$2:$A$396,'Output - 3 dígitos'!B87,INPUT!$C$2:$C$396)</f>
        <v>639838</v>
      </c>
      <c r="G87" s="32">
        <f t="shared" si="3"/>
        <v>3.3822312658497323E-3</v>
      </c>
      <c r="J87" s="7" t="str">
        <v xml:space="preserve"> Servicios de limpieza de edificios </v>
      </c>
      <c r="K87" s="8">
        <v>4.2797190541204295E-2</v>
      </c>
    </row>
    <row r="88" spans="1:11" x14ac:dyDescent="0.4">
      <c r="A88" s="12" t="s">
        <v>403</v>
      </c>
      <c r="B88" s="10">
        <v>310</v>
      </c>
      <c r="C88" s="11" t="s">
        <v>156</v>
      </c>
      <c r="D88" s="12" t="str">
        <f t="shared" si="2"/>
        <v xml:space="preserve"> Fabricación de muebles y colchones</v>
      </c>
      <c r="E88" s="31">
        <f>SUMIF(INPUT!$A$2:$A$396,'Output - 3 dígitos'!B88,INPUT!$B$2:$B$396)</f>
        <v>147204505</v>
      </c>
      <c r="F88" s="31">
        <f>SUMIF(INPUT!$A$2:$A$396,'Output - 3 dígitos'!B88,INPUT!$C$2:$C$396)</f>
        <v>12379941</v>
      </c>
      <c r="G88" s="32">
        <f t="shared" si="3"/>
        <v>8.4100286197083443E-2</v>
      </c>
      <c r="J88" s="7" t="str">
        <v xml:space="preserve"> Arrendamiento y gestión de bienes intangibles no financieros</v>
      </c>
      <c r="K88" s="8">
        <v>4.2323941430820682E-2</v>
      </c>
    </row>
    <row r="89" spans="1:11" x14ac:dyDescent="0.4">
      <c r="A89" s="12" t="s">
        <v>403</v>
      </c>
      <c r="B89" s="10">
        <v>321</v>
      </c>
      <c r="C89" s="11" t="s">
        <v>157</v>
      </c>
      <c r="D89" s="12" t="str">
        <f t="shared" si="2"/>
        <v xml:space="preserve"> Fabricación de joyas, bijouterie y artículos conexos</v>
      </c>
      <c r="E89" s="31">
        <f>SUMIF(INPUT!$A$2:$A$396,'Output - 3 dígitos'!B89,INPUT!$B$2:$B$396)</f>
        <v>477951</v>
      </c>
      <c r="F89" s="31">
        <f>SUMIF(INPUT!$A$2:$A$396,'Output - 3 dígitos'!B89,INPUT!$C$2:$C$396)</f>
        <v>38323</v>
      </c>
      <c r="G89" s="32">
        <f t="shared" si="3"/>
        <v>8.0181859646700188E-2</v>
      </c>
      <c r="J89" s="7" t="str">
        <v xml:space="preserve"> Servicios artísticos y de espectáculos</v>
      </c>
      <c r="K89" s="8">
        <v>4.2117669742129986E-2</v>
      </c>
    </row>
    <row r="90" spans="1:11" x14ac:dyDescent="0.4">
      <c r="A90" s="12" t="s">
        <v>403</v>
      </c>
      <c r="B90" s="10">
        <v>322</v>
      </c>
      <c r="C90" s="11" t="s">
        <v>158</v>
      </c>
      <c r="D90" s="12" t="str">
        <f t="shared" si="2"/>
        <v xml:space="preserve"> Fabricación de instrumentos de música</v>
      </c>
      <c r="E90" s="31">
        <f>SUMIF(INPUT!$A$2:$A$396,'Output - 3 dígitos'!B90,INPUT!$B$2:$B$396)</f>
        <v>1973309</v>
      </c>
      <c r="F90" s="31">
        <f>SUMIF(INPUT!$A$2:$A$396,'Output - 3 dígitos'!B90,INPUT!$C$2:$C$396)</f>
        <v>10913</v>
      </c>
      <c r="G90" s="32">
        <f t="shared" si="3"/>
        <v>5.5303046811219121E-3</v>
      </c>
      <c r="J90" s="7" t="str">
        <v>Venta al por menor de equipos de uso doméstico ncp en comercios especializados</v>
      </c>
      <c r="K90" s="8">
        <v>4.1616868099652628E-2</v>
      </c>
    </row>
    <row r="91" spans="1:11" x14ac:dyDescent="0.4">
      <c r="A91" s="12" t="s">
        <v>403</v>
      </c>
      <c r="B91" s="10">
        <v>323</v>
      </c>
      <c r="C91" s="11" t="s">
        <v>160</v>
      </c>
      <c r="D91" s="12" t="str">
        <f t="shared" si="2"/>
        <v xml:space="preserve"> Fabricación de artículos de deporte</v>
      </c>
      <c r="E91" s="31">
        <f>SUMIF(INPUT!$A$2:$A$396,'Output - 3 dígitos'!B91,INPUT!$B$2:$B$396)</f>
        <v>4039011</v>
      </c>
      <c r="F91" s="31">
        <f>SUMIF(INPUT!$A$2:$A$396,'Output - 3 dígitos'!B91,INPUT!$C$2:$C$396)</f>
        <v>167688</v>
      </c>
      <c r="G91" s="32">
        <f t="shared" si="3"/>
        <v>4.1517094159931725E-2</v>
      </c>
      <c r="J91" s="7" t="str">
        <v xml:space="preserve"> Fabricación de artículos de deporte</v>
      </c>
      <c r="K91" s="8">
        <v>4.1517094159931725E-2</v>
      </c>
    </row>
    <row r="92" spans="1:11" x14ac:dyDescent="0.4">
      <c r="A92" s="12" t="s">
        <v>403</v>
      </c>
      <c r="B92" s="10">
        <v>324</v>
      </c>
      <c r="C92" s="11" t="s">
        <v>159</v>
      </c>
      <c r="D92" s="12" t="str">
        <f t="shared" si="2"/>
        <v xml:space="preserve"> Fabricación de juegos y juguetes</v>
      </c>
      <c r="E92" s="31">
        <f>SUMIF(INPUT!$A$2:$A$396,'Output - 3 dígitos'!B92,INPUT!$B$2:$B$396)</f>
        <v>4662430</v>
      </c>
      <c r="F92" s="31">
        <f>SUMIF(INPUT!$A$2:$A$396,'Output - 3 dígitos'!B92,INPUT!$C$2:$C$396)</f>
        <v>59315</v>
      </c>
      <c r="G92" s="32">
        <f t="shared" si="3"/>
        <v>1.2721906816831566E-2</v>
      </c>
      <c r="J92" s="7" t="str">
        <v xml:space="preserve"> Recuperación de materiales y deshechos</v>
      </c>
      <c r="K92" s="8">
        <v>4.0256068036605148E-2</v>
      </c>
    </row>
    <row r="93" spans="1:11" x14ac:dyDescent="0.4">
      <c r="A93" s="12" t="s">
        <v>403</v>
      </c>
      <c r="B93" s="10">
        <v>329</v>
      </c>
      <c r="C93" s="11" t="s">
        <v>52</v>
      </c>
      <c r="D93" s="12" t="str">
        <f t="shared" si="2"/>
        <v xml:space="preserve"> Industrias manufactureras ncp</v>
      </c>
      <c r="E93" s="31">
        <f>SUMIF(INPUT!$A$2:$A$396,'Output - 3 dígitos'!B93,INPUT!$B$2:$B$396)</f>
        <v>348542911</v>
      </c>
      <c r="F93" s="31">
        <f>SUMIF(INPUT!$A$2:$A$396,'Output - 3 dígitos'!B93,INPUT!$C$2:$C$396)</f>
        <v>4724691</v>
      </c>
      <c r="G93" s="32">
        <f t="shared" si="3"/>
        <v>1.3555550409688292E-2</v>
      </c>
      <c r="J93" s="7" t="str">
        <v xml:space="preserve"> Extracción y aglomeración de lignito</v>
      </c>
      <c r="K93" s="8">
        <v>4.0254756266840858E-2</v>
      </c>
    </row>
    <row r="94" spans="1:11" x14ac:dyDescent="0.4">
      <c r="A94" s="12" t="s">
        <v>403</v>
      </c>
      <c r="B94" s="10">
        <v>331</v>
      </c>
      <c r="C94" s="11" t="s">
        <v>161</v>
      </c>
      <c r="D94" s="12" t="str">
        <f t="shared" si="2"/>
        <v xml:space="preserve"> Reparación y mantenimiento de máquinas y equipo</v>
      </c>
      <c r="E94" s="31">
        <f>SUMIF(INPUT!$A$2:$A$396,'Output - 3 dígitos'!B94,INPUT!$B$2:$B$396)</f>
        <v>59430969</v>
      </c>
      <c r="F94" s="31">
        <f>SUMIF(INPUT!$A$2:$A$396,'Output - 3 dígitos'!B94,INPUT!$C$2:$C$396)</f>
        <v>1886751</v>
      </c>
      <c r="G94" s="32">
        <f t="shared" si="3"/>
        <v>3.1746933151973342E-2</v>
      </c>
      <c r="J94" s="7" t="str">
        <v xml:space="preserve"> Construcción, reforma y reparación de obras de infraestructura para el transporte </v>
      </c>
      <c r="K94" s="8">
        <v>4.0169820089634517E-2</v>
      </c>
    </row>
    <row r="95" spans="1:11" x14ac:dyDescent="0.4">
      <c r="A95" s="12" t="s">
        <v>403</v>
      </c>
      <c r="B95" s="10">
        <v>332</v>
      </c>
      <c r="C95" s="11" t="s">
        <v>162</v>
      </c>
      <c r="D95" s="12" t="str">
        <f t="shared" si="2"/>
        <v xml:space="preserve"> Instalación de maquinaria y equipos industriales</v>
      </c>
      <c r="E95" s="31">
        <f>SUMIF(INPUT!$A$2:$A$396,'Output - 3 dígitos'!B95,INPUT!$B$2:$B$396)</f>
        <v>9037444</v>
      </c>
      <c r="F95" s="31">
        <f>SUMIF(INPUT!$A$2:$A$396,'Output - 3 dígitos'!B95,INPUT!$C$2:$C$396)</f>
        <v>331271</v>
      </c>
      <c r="G95" s="32">
        <f t="shared" si="3"/>
        <v>3.665538619105136E-2</v>
      </c>
      <c r="J95" s="7" t="str">
        <v>Venta al por menor en comercios no especializados</v>
      </c>
      <c r="K95" s="8">
        <v>4.0162953421713429E-2</v>
      </c>
    </row>
    <row r="96" spans="1:11" x14ac:dyDescent="0.4">
      <c r="A96" s="12" t="s">
        <v>412</v>
      </c>
      <c r="B96" s="10">
        <v>351</v>
      </c>
      <c r="C96" s="11" t="s">
        <v>163</v>
      </c>
      <c r="D96" s="12" t="str">
        <f t="shared" si="2"/>
        <v xml:space="preserve"> Generación, transporte y distribución de energía eléctrica</v>
      </c>
      <c r="E96" s="31">
        <f>SUMIF(INPUT!$A$2:$A$396,'Output - 3 dígitos'!B96,INPUT!$B$2:$B$396)</f>
        <v>2677708384</v>
      </c>
      <c r="F96" s="31">
        <f>SUMIF(INPUT!$A$2:$A$396,'Output - 3 dígitos'!B96,INPUT!$C$2:$C$396)</f>
        <v>1737919</v>
      </c>
      <c r="G96" s="32">
        <f t="shared" si="3"/>
        <v>6.4903221365870739E-4</v>
      </c>
      <c r="J96" s="7" t="str">
        <v xml:space="preserve"> Servicios de jardinería y mantenimiento de espacios verdes</v>
      </c>
      <c r="K96" s="8">
        <v>3.8949527120888269E-2</v>
      </c>
    </row>
    <row r="97" spans="1:11" x14ac:dyDescent="0.4">
      <c r="A97" s="12" t="s">
        <v>412</v>
      </c>
      <c r="B97" s="10">
        <v>352</v>
      </c>
      <c r="C97" s="11" t="s">
        <v>164</v>
      </c>
      <c r="D97" s="12" t="str">
        <f t="shared" si="2"/>
        <v xml:space="preserve"> Fabricación y distribución de gas  y de combustibles gaseosos por tuberías</v>
      </c>
      <c r="E97" s="31">
        <f>SUMIF(INPUT!$A$2:$A$396,'Output - 3 dígitos'!B97,INPUT!$B$2:$B$396)</f>
        <v>251049036</v>
      </c>
      <c r="F97" s="31">
        <f>SUMIF(INPUT!$A$2:$A$396,'Output - 3 dígitos'!B97,INPUT!$C$2:$C$396)</f>
        <v>2832694</v>
      </c>
      <c r="G97" s="32">
        <f t="shared" si="3"/>
        <v>1.1283429106654686E-2</v>
      </c>
      <c r="J97" s="7" t="str">
        <v xml:space="preserve"> Servicios sociales con alojamiento</v>
      </c>
      <c r="K97" s="8">
        <v>3.8074473211223633E-2</v>
      </c>
    </row>
    <row r="98" spans="1:11" x14ac:dyDescent="0.4">
      <c r="A98" s="12" t="s">
        <v>412</v>
      </c>
      <c r="B98" s="10">
        <v>353</v>
      </c>
      <c r="C98" s="11" t="s">
        <v>165</v>
      </c>
      <c r="D98" s="12" t="str">
        <f t="shared" si="2"/>
        <v xml:space="preserve"> Suministro de vapor y aire acondicionado</v>
      </c>
      <c r="E98" s="31">
        <f>SUMIF(INPUT!$A$2:$A$396,'Output - 3 dígitos'!B98,INPUT!$B$2:$B$396)</f>
        <v>1910083</v>
      </c>
      <c r="F98" s="31">
        <f>SUMIF(INPUT!$A$2:$A$396,'Output - 3 dígitos'!B98,INPUT!$C$2:$C$396)</f>
        <v>1416</v>
      </c>
      <c r="G98" s="32">
        <f t="shared" si="3"/>
        <v>7.413290417222707E-4</v>
      </c>
      <c r="J98" s="7" t="str">
        <v xml:space="preserve"> Servicios de asociaciones ncp</v>
      </c>
      <c r="K98" s="8">
        <v>3.7331938667579397E-2</v>
      </c>
    </row>
    <row r="99" spans="1:11" x14ac:dyDescent="0.4">
      <c r="A99" s="12" t="s">
        <v>412</v>
      </c>
      <c r="B99" s="10">
        <v>360</v>
      </c>
      <c r="C99" s="11" t="s">
        <v>166</v>
      </c>
      <c r="D99" s="12" t="str">
        <f t="shared" si="2"/>
        <v xml:space="preserve"> Captación, depuración y distribución de agua</v>
      </c>
      <c r="E99" s="31">
        <f>SUMIF(INPUT!$A$2:$A$396,'Output - 3 dígitos'!B99,INPUT!$B$2:$B$396)</f>
        <v>23274721</v>
      </c>
      <c r="F99" s="31">
        <f>SUMIF(INPUT!$A$2:$A$396,'Output - 3 dígitos'!B99,INPUT!$C$2:$C$396)</f>
        <v>575531</v>
      </c>
      <c r="G99" s="32">
        <f t="shared" si="3"/>
        <v>2.472772928191062E-2</v>
      </c>
      <c r="J99" s="7" t="str">
        <v xml:space="preserve"> Servicios jurídicos</v>
      </c>
      <c r="K99" s="8">
        <v>3.6764491813304996E-2</v>
      </c>
    </row>
    <row r="100" spans="1:11" x14ac:dyDescent="0.4">
      <c r="A100" s="12" t="s">
        <v>412</v>
      </c>
      <c r="B100" s="10">
        <v>370</v>
      </c>
      <c r="C100" s="11" t="s">
        <v>167</v>
      </c>
      <c r="D100" s="12" t="str">
        <f t="shared" si="2"/>
        <v xml:space="preserve"> Servicios de depuración de aguas residuales, alcantarillado y cloacas</v>
      </c>
      <c r="E100" s="31">
        <f>SUMIF(INPUT!$A$2:$A$396,'Output - 3 dígitos'!B100,INPUT!$B$2:$B$396)</f>
        <v>11076926</v>
      </c>
      <c r="F100" s="31">
        <f>SUMIF(INPUT!$A$2:$A$396,'Output - 3 dígitos'!B100,INPUT!$C$2:$C$396)</f>
        <v>873341</v>
      </c>
      <c r="G100" s="32">
        <f t="shared" si="3"/>
        <v>7.8843263916360914E-2</v>
      </c>
      <c r="J100" s="7" t="str">
        <v xml:space="preserve"> Venta de partes, piezas y accesorios de vehículos automotores</v>
      </c>
      <c r="K100" s="8">
        <v>3.6745805456734192E-2</v>
      </c>
    </row>
    <row r="101" spans="1:11" x14ac:dyDescent="0.4">
      <c r="A101" s="12" t="s">
        <v>412</v>
      </c>
      <c r="B101" s="10">
        <v>381</v>
      </c>
      <c r="C101" s="11" t="s">
        <v>168</v>
      </c>
      <c r="D101" s="12" t="str">
        <f t="shared" si="2"/>
        <v xml:space="preserve"> Recolección, transporte, tratamiento y disposición final de residuos</v>
      </c>
      <c r="E101" s="31">
        <f>SUMIF(INPUT!$A$2:$A$396,'Output - 3 dígitos'!B101,INPUT!$B$2:$B$396)</f>
        <v>138373411</v>
      </c>
      <c r="F101" s="31">
        <f>SUMIF(INPUT!$A$2:$A$396,'Output - 3 dígitos'!B101,INPUT!$C$2:$C$396)</f>
        <v>3919035</v>
      </c>
      <c r="G101" s="32">
        <f t="shared" si="3"/>
        <v>2.8322168050045397E-2</v>
      </c>
      <c r="J101" s="7" t="str">
        <v xml:space="preserve"> Instalación de maquinaria y equipos industriales</v>
      </c>
      <c r="K101" s="8">
        <v>3.665538619105136E-2</v>
      </c>
    </row>
    <row r="102" spans="1:11" x14ac:dyDescent="0.4">
      <c r="A102" s="12" t="s">
        <v>412</v>
      </c>
      <c r="B102" s="10">
        <v>382</v>
      </c>
      <c r="C102" s="11" t="s">
        <v>169</v>
      </c>
      <c r="D102" s="12" t="str">
        <f t="shared" si="2"/>
        <v xml:space="preserve"> Recuperación de materiales y deshechos</v>
      </c>
      <c r="E102" s="31">
        <f>SUMIF(INPUT!$A$2:$A$396,'Output - 3 dígitos'!B102,INPUT!$B$2:$B$396)</f>
        <v>20928969</v>
      </c>
      <c r="F102" s="31">
        <f>SUMIF(INPUT!$A$2:$A$396,'Output - 3 dígitos'!B102,INPUT!$C$2:$C$396)</f>
        <v>842518</v>
      </c>
      <c r="G102" s="32">
        <f t="shared" si="3"/>
        <v>4.0256068036605148E-2</v>
      </c>
      <c r="J102" s="7" t="str">
        <v xml:space="preserve"> Fabricación de productos metálicos para uso estructural, tanques, depósitos y generadores de vapor</v>
      </c>
      <c r="K102" s="8">
        <v>3.5321511192485999E-2</v>
      </c>
    </row>
    <row r="103" spans="1:11" x14ac:dyDescent="0.4">
      <c r="A103" s="12" t="s">
        <v>412</v>
      </c>
      <c r="B103" s="10">
        <v>390</v>
      </c>
      <c r="C103" s="11" t="s">
        <v>170</v>
      </c>
      <c r="D103" s="12" t="str">
        <f t="shared" si="2"/>
        <v xml:space="preserve"> Descontaminación y otros servicios de gestión de residuos</v>
      </c>
      <c r="E103" s="31">
        <f>SUMIF(INPUT!$A$2:$A$396,'Output - 3 dígitos'!B103,INPUT!$B$2:$B$396)</f>
        <v>6321380</v>
      </c>
      <c r="F103" s="31">
        <f>SUMIF(INPUT!$A$2:$A$396,'Output - 3 dígitos'!B103,INPUT!$C$2:$C$396)</f>
        <v>208409</v>
      </c>
      <c r="G103" s="32">
        <f t="shared" si="3"/>
        <v>3.2968908687659976E-2</v>
      </c>
      <c r="J103" s="7" t="str">
        <v xml:space="preserve"> Explotación de criaderos de peces, granjas piscícolas y otros frutos acuáticos (acuicultura)</v>
      </c>
      <c r="K103" s="8">
        <v>3.4246473288402704E-2</v>
      </c>
    </row>
    <row r="104" spans="1:11" x14ac:dyDescent="0.4">
      <c r="A104" s="12" t="s">
        <v>421</v>
      </c>
      <c r="B104" s="10">
        <v>410</v>
      </c>
      <c r="C104" s="11" t="s">
        <v>171</v>
      </c>
      <c r="D104" s="12" t="str">
        <f t="shared" si="2"/>
        <v xml:space="preserve"> Construcción de edificios y sus partes </v>
      </c>
      <c r="E104" s="31">
        <f>SUMIF(INPUT!$A$2:$A$396,'Output - 3 dígitos'!B104,INPUT!$B$2:$B$396)</f>
        <v>683440409</v>
      </c>
      <c r="F104" s="31">
        <f>SUMIF(INPUT!$A$2:$A$396,'Output - 3 dígitos'!B104,INPUT!$C$2:$C$396)</f>
        <v>39107191</v>
      </c>
      <c r="G104" s="32">
        <f t="shared" si="3"/>
        <v>5.7221069291499851E-2</v>
      </c>
      <c r="J104" s="7" t="str">
        <v xml:space="preserve"> Cultivos perennes</v>
      </c>
      <c r="K104" s="8">
        <v>3.3912114671368565E-2</v>
      </c>
    </row>
    <row r="105" spans="1:11" x14ac:dyDescent="0.4">
      <c r="A105" s="12" t="s">
        <v>421</v>
      </c>
      <c r="B105" s="10">
        <v>421</v>
      </c>
      <c r="C105" s="11" t="s">
        <v>172</v>
      </c>
      <c r="D105" s="12" t="str">
        <f t="shared" si="2"/>
        <v xml:space="preserve"> Construcción, reforma y reparación de obras de infraestructura para el transporte </v>
      </c>
      <c r="E105" s="31">
        <f>SUMIF(INPUT!$A$2:$A$396,'Output - 3 dígitos'!B105,INPUT!$B$2:$B$396)</f>
        <v>274676336</v>
      </c>
      <c r="F105" s="31">
        <f>SUMIF(INPUT!$A$2:$A$396,'Output - 3 dígitos'!B105,INPUT!$C$2:$C$396)</f>
        <v>11033699</v>
      </c>
      <c r="G105" s="32">
        <f t="shared" si="3"/>
        <v>4.0169820089634517E-2</v>
      </c>
      <c r="J105" s="7" t="str">
        <v xml:space="preserve"> Descontaminación y otros servicios de gestión de residuos</v>
      </c>
      <c r="K105" s="8">
        <v>3.2968908687659976E-2</v>
      </c>
    </row>
    <row r="106" spans="1:11" x14ac:dyDescent="0.4">
      <c r="A106" s="12" t="s">
        <v>421</v>
      </c>
      <c r="B106" s="10">
        <v>422</v>
      </c>
      <c r="C106" s="11" t="s">
        <v>174</v>
      </c>
      <c r="D106" s="12" t="str">
        <f t="shared" si="2"/>
        <v xml:space="preserve"> Construcción de proyectos de servicios públicos</v>
      </c>
      <c r="E106" s="31">
        <f>SUMIF(INPUT!$A$2:$A$396,'Output - 3 dígitos'!B106,INPUT!$B$2:$B$396)</f>
        <v>158987783</v>
      </c>
      <c r="F106" s="31">
        <f>SUMIF(INPUT!$A$2:$A$396,'Output - 3 dígitos'!B106,INPUT!$C$2:$C$396)</f>
        <v>5105184</v>
      </c>
      <c r="G106" s="32">
        <f t="shared" si="3"/>
        <v>3.2110542732707956E-2</v>
      </c>
      <c r="J106" s="7" t="str">
        <v xml:space="preserve"> Alquiler de vehículos automotores y equipo de transporte sin conductor ni operarios</v>
      </c>
      <c r="K106" s="8">
        <v>3.2601782937272297E-2</v>
      </c>
    </row>
    <row r="107" spans="1:11" x14ac:dyDescent="0.4">
      <c r="A107" s="12" t="s">
        <v>421</v>
      </c>
      <c r="B107" s="10">
        <v>429</v>
      </c>
      <c r="C107" s="11" t="s">
        <v>173</v>
      </c>
      <c r="D107" s="12" t="str">
        <f t="shared" si="2"/>
        <v xml:space="preserve"> Obras de ingeniería civil ncp</v>
      </c>
      <c r="E107" s="31">
        <f>SUMIF(INPUT!$A$2:$A$396,'Output - 3 dígitos'!B107,INPUT!$B$2:$B$396)</f>
        <v>434774421</v>
      </c>
      <c r="F107" s="31">
        <f>SUMIF(INPUT!$A$2:$A$396,'Output - 3 dígitos'!B107,INPUT!$C$2:$C$396)</f>
        <v>20555437</v>
      </c>
      <c r="G107" s="32">
        <f t="shared" si="3"/>
        <v>4.7278395432559267E-2</v>
      </c>
      <c r="J107" s="7" t="str">
        <v xml:space="preserve"> Construcción de proyectos de servicios públicos</v>
      </c>
      <c r="K107" s="8">
        <v>3.2110542732707956E-2</v>
      </c>
    </row>
    <row r="108" spans="1:11" x14ac:dyDescent="0.4">
      <c r="A108" s="12" t="s">
        <v>421</v>
      </c>
      <c r="B108" s="10">
        <v>431</v>
      </c>
      <c r="C108" s="11" t="s">
        <v>178</v>
      </c>
      <c r="D108" s="12" t="str">
        <f t="shared" si="2"/>
        <v xml:space="preserve"> Demolición, movimiento y preparación de terrenos para obras</v>
      </c>
      <c r="E108" s="31">
        <f>SUMIF(INPUT!$A$2:$A$396,'Output - 3 dígitos'!B108,INPUT!$B$2:$B$396)</f>
        <v>124272176</v>
      </c>
      <c r="F108" s="31">
        <f>SUMIF(INPUT!$A$2:$A$396,'Output - 3 dígitos'!B108,INPUT!$C$2:$C$396)</f>
        <v>8848784</v>
      </c>
      <c r="G108" s="32">
        <f t="shared" si="3"/>
        <v>7.12048689000183E-2</v>
      </c>
      <c r="J108" s="7" t="str">
        <v xml:space="preserve"> Reparación y mantenimiento de máquinas y equipo</v>
      </c>
      <c r="K108" s="8">
        <v>3.1746933151973342E-2</v>
      </c>
    </row>
    <row r="109" spans="1:11" x14ac:dyDescent="0.4">
      <c r="A109" s="12" t="s">
        <v>421</v>
      </c>
      <c r="B109" s="10">
        <v>432</v>
      </c>
      <c r="C109" s="11" t="s">
        <v>175</v>
      </c>
      <c r="D109" s="12" t="str">
        <f t="shared" si="2"/>
        <v xml:space="preserve"> Instalaciones para edificios y obras de ingeniería civil</v>
      </c>
      <c r="E109" s="31">
        <f>SUMIF(INPUT!$A$2:$A$396,'Output - 3 dígitos'!B109,INPUT!$B$2:$B$396)</f>
        <v>101306410</v>
      </c>
      <c r="F109" s="31">
        <f>SUMIF(INPUT!$A$2:$A$396,'Output - 3 dígitos'!B109,INPUT!$C$2:$C$396)</f>
        <v>5073524</v>
      </c>
      <c r="G109" s="32">
        <f t="shared" si="3"/>
        <v>5.0080977106976746E-2</v>
      </c>
      <c r="J109" s="7" t="str">
        <v xml:space="preserve">Servicio de transporte automotor </v>
      </c>
      <c r="K109" s="8">
        <v>3.1587115738112521E-2</v>
      </c>
    </row>
    <row r="110" spans="1:11" x14ac:dyDescent="0.4">
      <c r="A110" s="12" t="s">
        <v>421</v>
      </c>
      <c r="B110" s="10">
        <v>433</v>
      </c>
      <c r="C110" s="11" t="s">
        <v>176</v>
      </c>
      <c r="D110" s="12" t="str">
        <f t="shared" si="2"/>
        <v xml:space="preserve"> Terminación de edificios </v>
      </c>
      <c r="E110" s="31">
        <f>SUMIF(INPUT!$A$2:$A$396,'Output - 3 dígitos'!B110,INPUT!$B$2:$B$396)</f>
        <v>14764944</v>
      </c>
      <c r="F110" s="31">
        <f>SUMIF(INPUT!$A$2:$A$396,'Output - 3 dígitos'!B110,INPUT!$C$2:$C$396)</f>
        <v>1375638</v>
      </c>
      <c r="G110" s="32">
        <f t="shared" si="3"/>
        <v>9.3169198609896517E-2</v>
      </c>
      <c r="J110" s="7" t="str">
        <v xml:space="preserve"> Fabricación de productos farmaceúticos, sustancias químicas medicinales y productos botánicos de uso farmaceútico</v>
      </c>
      <c r="K110" s="8">
        <v>3.1351094332836817E-2</v>
      </c>
    </row>
    <row r="111" spans="1:11" x14ac:dyDescent="0.4">
      <c r="A111" s="12" t="s">
        <v>421</v>
      </c>
      <c r="B111" s="10">
        <v>439</v>
      </c>
      <c r="C111" s="11" t="s">
        <v>177</v>
      </c>
      <c r="D111" s="12" t="str">
        <f t="shared" si="2"/>
        <v xml:space="preserve"> Alquiler de equipo de construcción o demolición dotado de operarios y actividades especializadas de construcción ncp</v>
      </c>
      <c r="E111" s="31">
        <f>SUMIF(INPUT!$A$2:$A$396,'Output - 3 dígitos'!B111,INPUT!$B$2:$B$396)</f>
        <v>89329555</v>
      </c>
      <c r="F111" s="31">
        <f>SUMIF(INPUT!$A$2:$A$396,'Output - 3 dígitos'!B111,INPUT!$C$2:$C$396)</f>
        <v>4049036</v>
      </c>
      <c r="G111" s="32">
        <f t="shared" si="3"/>
        <v>4.5326946943819432E-2</v>
      </c>
      <c r="J111" s="7" t="str">
        <v>Venta al por mayor de artículos de uso doméstico y/o personal</v>
      </c>
      <c r="K111" s="8">
        <v>3.1204175007759488E-2</v>
      </c>
    </row>
    <row r="112" spans="1:11" x14ac:dyDescent="0.4">
      <c r="A112" s="12" t="s">
        <v>430</v>
      </c>
      <c r="B112" s="10">
        <v>451</v>
      </c>
      <c r="C112" s="11" t="s">
        <v>181</v>
      </c>
      <c r="D112" s="12" t="str">
        <f t="shared" si="2"/>
        <v xml:space="preserve"> Venta de vehículos automotores, excepto motocicletas</v>
      </c>
      <c r="E112" s="31">
        <f>SUMIF(INPUT!$A$2:$A$396,'Output - 3 dígitos'!B112,INPUT!$B$2:$B$396)</f>
        <v>2379859755</v>
      </c>
      <c r="F112" s="31">
        <f>SUMIF(INPUT!$A$2:$A$396,'Output - 3 dígitos'!B112,INPUT!$C$2:$C$396)</f>
        <v>9815136</v>
      </c>
      <c r="G112" s="32">
        <f t="shared" si="3"/>
        <v>4.1242497501706773E-3</v>
      </c>
      <c r="J112" s="7" t="str">
        <v xml:space="preserve"> Servicios de bibliotecas, archivos y museos y  servicios culturales ncp</v>
      </c>
      <c r="K112" s="8">
        <v>3.0126094094678164E-2</v>
      </c>
    </row>
    <row r="113" spans="1:11" x14ac:dyDescent="0.4">
      <c r="A113" s="12" t="s">
        <v>430</v>
      </c>
      <c r="B113" s="10">
        <v>452</v>
      </c>
      <c r="C113" s="11" t="s">
        <v>179</v>
      </c>
      <c r="D113" s="12" t="str">
        <f t="shared" si="2"/>
        <v xml:space="preserve"> Mantenimiento y reparación de vehículos automotores, excepto motocicletas</v>
      </c>
      <c r="E113" s="31">
        <f>SUMIF(INPUT!$A$2:$A$396,'Output - 3 dígitos'!B113,INPUT!$B$2:$B$396)</f>
        <v>126374321</v>
      </c>
      <c r="F113" s="31">
        <f>SUMIF(INPUT!$A$2:$A$396,'Output - 3 dígitos'!B113,INPUT!$C$2:$C$396)</f>
        <v>8048815</v>
      </c>
      <c r="G113" s="32">
        <f t="shared" si="3"/>
        <v>6.3690272962970071E-2</v>
      </c>
      <c r="J113" s="7" t="str">
        <v xml:space="preserve"> Servicios industriales para la elaboración de alimentos y bebidas</v>
      </c>
      <c r="K113" s="8">
        <v>2.9968393269642502E-2</v>
      </c>
    </row>
    <row r="114" spans="1:11" x14ac:dyDescent="0.4">
      <c r="A114" s="12" t="s">
        <v>430</v>
      </c>
      <c r="B114" s="10">
        <v>453</v>
      </c>
      <c r="C114" s="11" t="s">
        <v>182</v>
      </c>
      <c r="D114" s="12" t="str">
        <f t="shared" si="2"/>
        <v xml:space="preserve"> Venta de partes, piezas y accesorios de vehículos automotores</v>
      </c>
      <c r="E114" s="31">
        <f>SUMIF(INPUT!$A$2:$A$396,'Output - 3 dígitos'!B114,INPUT!$B$2:$B$396)</f>
        <v>405210685</v>
      </c>
      <c r="F114" s="31">
        <f>SUMIF(INPUT!$A$2:$A$396,'Output - 3 dígitos'!B114,INPUT!$C$2:$C$396)</f>
        <v>14889793</v>
      </c>
      <c r="G114" s="32">
        <f t="shared" si="3"/>
        <v>3.6745805456734192E-2</v>
      </c>
      <c r="J114" s="7" t="str">
        <v xml:space="preserve"> Servicios de prácticas de diagnóstico y tratamiento</v>
      </c>
      <c r="K114" s="8">
        <v>2.9603328990464181E-2</v>
      </c>
    </row>
    <row r="115" spans="1:11" x14ac:dyDescent="0.4">
      <c r="A115" s="12" t="s">
        <v>430</v>
      </c>
      <c r="B115" s="10">
        <v>454</v>
      </c>
      <c r="C115" s="11" t="s">
        <v>180</v>
      </c>
      <c r="D115" s="12" t="str">
        <f t="shared" si="2"/>
        <v xml:space="preserve"> Venta, mantenimiento y reparación de motocicletas y de sus partes, piezas y accesorios</v>
      </c>
      <c r="E115" s="31">
        <f>SUMIF(INPUT!$A$2:$A$396,'Output - 3 dígitos'!B115,INPUT!$B$2:$B$396)</f>
        <v>62912460</v>
      </c>
      <c r="F115" s="31">
        <f>SUMIF(INPUT!$A$2:$A$396,'Output - 3 dígitos'!B115,INPUT!$C$2:$C$396)</f>
        <v>2856255</v>
      </c>
      <c r="G115" s="32">
        <f t="shared" si="3"/>
        <v>4.5400465980824783E-2</v>
      </c>
      <c r="J115" s="7" t="str">
        <v xml:space="preserve"> Servicios de cinematografía</v>
      </c>
      <c r="K115" s="8">
        <v>2.9276429491678101E-2</v>
      </c>
    </row>
    <row r="116" spans="1:11" x14ac:dyDescent="0.4">
      <c r="A116" s="12" t="s">
        <v>430</v>
      </c>
      <c r="B116" s="10">
        <v>461</v>
      </c>
      <c r="C116" s="11" t="s">
        <v>186</v>
      </c>
      <c r="D116" s="12" t="str">
        <f t="shared" si="2"/>
        <v>Venta al por mayor en comisión o consignación</v>
      </c>
      <c r="E116" s="31">
        <f>SUMIF(INPUT!$A$2:$A$396,'Output - 3 dígitos'!B116,INPUT!$B$2:$B$396)</f>
        <v>1745430294</v>
      </c>
      <c r="F116" s="31">
        <f>SUMIF(INPUT!$A$2:$A$396,'Output - 3 dígitos'!B116,INPUT!$C$2:$C$396)</f>
        <v>83950717</v>
      </c>
      <c r="G116" s="32">
        <f t="shared" si="3"/>
        <v>4.8097433216659866E-2</v>
      </c>
      <c r="J116" s="7" t="str">
        <v xml:space="preserve"> Enseñanza inicial y primaria</v>
      </c>
      <c r="K116" s="8">
        <v>2.8881476419424533E-2</v>
      </c>
    </row>
    <row r="117" spans="1:11" x14ac:dyDescent="0.4">
      <c r="A117" s="12" t="s">
        <v>430</v>
      </c>
      <c r="B117" s="10">
        <v>462</v>
      </c>
      <c r="C117" s="11" t="s">
        <v>188</v>
      </c>
      <c r="D117" s="12" t="str">
        <f t="shared" si="2"/>
        <v>Venta al por mayor de materias primas agropecuarias y de animales vivos</v>
      </c>
      <c r="E117" s="31">
        <f>SUMIF(INPUT!$A$2:$A$396,'Output - 3 dígitos'!B117,INPUT!$B$2:$B$396)</f>
        <v>996108034</v>
      </c>
      <c r="F117" s="31">
        <f>SUMIF(INPUT!$A$2:$A$396,'Output - 3 dígitos'!B117,INPUT!$C$2:$C$396)</f>
        <v>15245827</v>
      </c>
      <c r="G117" s="32">
        <f t="shared" si="3"/>
        <v>1.5305395077257252E-2</v>
      </c>
      <c r="J117" s="7" t="str">
        <v xml:space="preserve"> Servicios de fotografía </v>
      </c>
      <c r="K117" s="8">
        <v>2.857455319515001E-2</v>
      </c>
    </row>
    <row r="118" spans="1:11" x14ac:dyDescent="0.4">
      <c r="A118" s="12" t="s">
        <v>430</v>
      </c>
      <c r="B118" s="10">
        <v>463</v>
      </c>
      <c r="C118" s="11" t="s">
        <v>185</v>
      </c>
      <c r="D118" s="12" t="str">
        <f t="shared" si="2"/>
        <v>Venta al por mayor de alimentos, bebidas y tabaco</v>
      </c>
      <c r="E118" s="31">
        <f>SUMIF(INPUT!$A$2:$A$396,'Output - 3 dígitos'!B118,INPUT!$B$2:$B$396)</f>
        <v>741841831</v>
      </c>
      <c r="F118" s="31">
        <f>SUMIF(INPUT!$A$2:$A$396,'Output - 3 dígitos'!B118,INPUT!$C$2:$C$396)</f>
        <v>50220197</v>
      </c>
      <c r="G118" s="32">
        <f t="shared" si="3"/>
        <v>6.7696636805049615E-2</v>
      </c>
      <c r="J118" s="7" t="str">
        <v xml:space="preserve"> Extracción de gas natural</v>
      </c>
      <c r="K118" s="8">
        <v>2.8463147728684215E-2</v>
      </c>
    </row>
    <row r="119" spans="1:11" x14ac:dyDescent="0.4">
      <c r="A119" s="12" t="s">
        <v>430</v>
      </c>
      <c r="B119" s="10">
        <v>464</v>
      </c>
      <c r="C119" s="11" t="s">
        <v>183</v>
      </c>
      <c r="D119" s="12" t="str">
        <f t="shared" si="2"/>
        <v>Venta al por mayor de artículos de uso doméstico y/o personal</v>
      </c>
      <c r="E119" s="31">
        <f>SUMIF(INPUT!$A$2:$A$396,'Output - 3 dígitos'!B119,INPUT!$B$2:$B$396)</f>
        <v>1788819861</v>
      </c>
      <c r="F119" s="31">
        <f>SUMIF(INPUT!$A$2:$A$396,'Output - 3 dígitos'!B119,INPUT!$C$2:$C$396)</f>
        <v>55818648</v>
      </c>
      <c r="G119" s="32">
        <f t="shared" si="3"/>
        <v>3.1204175007759488E-2</v>
      </c>
      <c r="J119" s="7" t="str">
        <v xml:space="preserve"> Recolección, transporte, tratamiento y disposición final de residuos</v>
      </c>
      <c r="K119" s="8">
        <v>2.8322168050045397E-2</v>
      </c>
    </row>
    <row r="120" spans="1:11" x14ac:dyDescent="0.4">
      <c r="A120" s="12" t="s">
        <v>430</v>
      </c>
      <c r="B120" s="10">
        <v>465</v>
      </c>
      <c r="C120" s="11" t="s">
        <v>189</v>
      </c>
      <c r="D120" s="12" t="str">
        <f t="shared" si="2"/>
        <v>Venta al por mayor de máquinas, equipo y materiales conexos</v>
      </c>
      <c r="E120" s="31">
        <f>SUMIF(INPUT!$A$2:$A$396,'Output - 3 dígitos'!B120,INPUT!$B$2:$B$396)</f>
        <v>820886600</v>
      </c>
      <c r="F120" s="31">
        <f>SUMIF(INPUT!$A$2:$A$396,'Output - 3 dígitos'!B120,INPUT!$C$2:$C$396)</f>
        <v>13992752</v>
      </c>
      <c r="G120" s="32">
        <f t="shared" si="3"/>
        <v>1.7045901346178633E-2</v>
      </c>
      <c r="J120" s="7" t="str">
        <v xml:space="preserve"> Servicios de organizaciones empresariales, profesionales y de empleadores</v>
      </c>
      <c r="K120" s="8">
        <v>2.778083551173945E-2</v>
      </c>
    </row>
    <row r="121" spans="1:11" x14ac:dyDescent="0.4">
      <c r="A121" s="12" t="s">
        <v>430</v>
      </c>
      <c r="B121" s="10">
        <v>466</v>
      </c>
      <c r="C121" s="11" t="s">
        <v>187</v>
      </c>
      <c r="D121" s="12" t="str">
        <f t="shared" si="2"/>
        <v>Venta al por mayor especializada</v>
      </c>
      <c r="E121" s="31">
        <f>SUMIF(INPUT!$A$2:$A$396,'Output - 3 dígitos'!B121,INPUT!$B$2:$B$396)</f>
        <v>1229536981</v>
      </c>
      <c r="F121" s="31">
        <f>SUMIF(INPUT!$A$2:$A$396,'Output - 3 dígitos'!B121,INPUT!$C$2:$C$396)</f>
        <v>56116381</v>
      </c>
      <c r="G121" s="32">
        <f t="shared" si="3"/>
        <v>4.5640254719593508E-2</v>
      </c>
      <c r="J121" s="7" t="str">
        <v xml:space="preserve"> Servicios de contabilidad, auditoría y asesoría fiscal</v>
      </c>
      <c r="K121" s="8">
        <v>2.7750014046148252E-2</v>
      </c>
    </row>
    <row r="122" spans="1:11" x14ac:dyDescent="0.4">
      <c r="A122" s="12" t="s">
        <v>430</v>
      </c>
      <c r="B122" s="10">
        <v>469</v>
      </c>
      <c r="C122" s="11" t="s">
        <v>184</v>
      </c>
      <c r="D122" s="12" t="str">
        <f t="shared" si="2"/>
        <v>Venta al por mayor de mercancías ncp</v>
      </c>
      <c r="E122" s="31">
        <f>SUMIF(INPUT!$A$2:$A$396,'Output - 3 dígitos'!B122,INPUT!$B$2:$B$396)</f>
        <v>237566822</v>
      </c>
      <c r="F122" s="31">
        <f>SUMIF(INPUT!$A$2:$A$396,'Output - 3 dígitos'!B122,INPUT!$C$2:$C$396)</f>
        <v>6070172</v>
      </c>
      <c r="G122" s="32">
        <f t="shared" si="3"/>
        <v>2.5551429904635419E-2</v>
      </c>
      <c r="J122" s="7" t="str">
        <v xml:space="preserve"> Fabricación de vidrio y productos de vidrio</v>
      </c>
      <c r="K122" s="8">
        <v>2.7210006750910721E-2</v>
      </c>
    </row>
    <row r="123" spans="1:11" x14ac:dyDescent="0.4">
      <c r="A123" s="12" t="s">
        <v>430</v>
      </c>
      <c r="B123" s="10">
        <v>471</v>
      </c>
      <c r="C123" s="11" t="s">
        <v>190</v>
      </c>
      <c r="D123" s="12" t="str">
        <f t="shared" si="2"/>
        <v>Venta al por menor en comercios no especializados</v>
      </c>
      <c r="E123" s="31">
        <f>SUMIF(INPUT!$A$2:$A$396,'Output - 3 dígitos'!B123,INPUT!$B$2:$B$396)</f>
        <v>513868559</v>
      </c>
      <c r="F123" s="31">
        <f>SUMIF(INPUT!$A$2:$A$396,'Output - 3 dígitos'!B123,INPUT!$C$2:$C$396)</f>
        <v>20638479</v>
      </c>
      <c r="G123" s="32">
        <f t="shared" si="3"/>
        <v>4.0162953421713429E-2</v>
      </c>
      <c r="J123" s="7" t="str">
        <v xml:space="preserve"> Cultivos temporales</v>
      </c>
      <c r="K123" s="8">
        <v>2.6715906286391068E-2</v>
      </c>
    </row>
    <row r="124" spans="1:11" x14ac:dyDescent="0.4">
      <c r="A124" s="12" t="s">
        <v>430</v>
      </c>
      <c r="B124" s="10">
        <v>472</v>
      </c>
      <c r="C124" s="11" t="s">
        <v>193</v>
      </c>
      <c r="D124" s="12" t="str">
        <f t="shared" si="2"/>
        <v>Venta al por menor de productos alimenticios, bebidas y tabaco en comercios especializados</v>
      </c>
      <c r="E124" s="31">
        <f>SUMIF(INPUT!$A$2:$A$396,'Output - 3 dígitos'!B124,INPUT!$B$2:$B$396)</f>
        <v>497633341</v>
      </c>
      <c r="F124" s="31">
        <f>SUMIF(INPUT!$A$2:$A$396,'Output - 3 dígitos'!B124,INPUT!$C$2:$C$396)</f>
        <v>57232578</v>
      </c>
      <c r="G124" s="32">
        <f t="shared" si="3"/>
        <v>0.11500953269125913</v>
      </c>
      <c r="J124" s="7" t="str">
        <v xml:space="preserve"> Fabricación de productos de caucho</v>
      </c>
      <c r="K124" s="8">
        <v>2.6525250850914943E-2</v>
      </c>
    </row>
    <row r="125" spans="1:11" x14ac:dyDescent="0.4">
      <c r="A125" s="12" t="s">
        <v>430</v>
      </c>
      <c r="B125" s="10">
        <v>473</v>
      </c>
      <c r="C125" s="11" t="s">
        <v>197</v>
      </c>
      <c r="D125" s="12" t="str">
        <f t="shared" si="2"/>
        <v>Venta al por menor de combustible para vehículos automotores y motocicletas</v>
      </c>
      <c r="E125" s="31">
        <f>SUMIF(INPUT!$A$2:$A$396,'Output - 3 dígitos'!B125,INPUT!$B$2:$B$396)</f>
        <v>416579241</v>
      </c>
      <c r="F125" s="31">
        <f>SUMIF(INPUT!$A$2:$A$396,'Output - 3 dígitos'!B125,INPUT!$C$2:$C$396)</f>
        <v>6146722</v>
      </c>
      <c r="G125" s="32">
        <f t="shared" si="3"/>
        <v>1.4755228765707987E-2</v>
      </c>
      <c r="J125" s="7" t="str">
        <v xml:space="preserve"> Servicios relacionados con la salud humana ncp</v>
      </c>
      <c r="K125" s="8">
        <v>2.6444376692371943E-2</v>
      </c>
    </row>
    <row r="126" spans="1:11" x14ac:dyDescent="0.4">
      <c r="A126" s="12" t="s">
        <v>430</v>
      </c>
      <c r="B126" s="10">
        <v>474</v>
      </c>
      <c r="C126" s="11" t="s">
        <v>196</v>
      </c>
      <c r="D126" s="12" t="str">
        <f t="shared" si="2"/>
        <v>Venta al por menor de equipos, periféricos,  accesorios y programas informáticos</v>
      </c>
      <c r="E126" s="31">
        <f>SUMIF(INPUT!$A$2:$A$396,'Output - 3 dígitos'!B126,INPUT!$B$2:$B$396)</f>
        <v>73404621</v>
      </c>
      <c r="F126" s="31">
        <f>SUMIF(INPUT!$A$2:$A$396,'Output - 3 dígitos'!B126,INPUT!$C$2:$C$396)</f>
        <v>4617501</v>
      </c>
      <c r="G126" s="32">
        <f t="shared" si="3"/>
        <v>6.2904772711788806E-2</v>
      </c>
      <c r="J126" s="7" t="str">
        <v xml:space="preserve"> Alquiler de efectos personales y enseres domésticos </v>
      </c>
      <c r="K126" s="8">
        <v>2.6189330537339336E-2</v>
      </c>
    </row>
    <row r="127" spans="1:11" x14ac:dyDescent="0.4">
      <c r="A127" s="12" t="s">
        <v>430</v>
      </c>
      <c r="B127" s="10">
        <v>475</v>
      </c>
      <c r="C127" s="11" t="s">
        <v>192</v>
      </c>
      <c r="D127" s="12" t="str">
        <f t="shared" si="2"/>
        <v>Venta al por menor de equipos de uso doméstico ncp en comercios especializados</v>
      </c>
      <c r="E127" s="31">
        <f>SUMIF(INPUT!$A$2:$A$396,'Output - 3 dígitos'!B127,INPUT!$B$2:$B$396)</f>
        <v>1094741173</v>
      </c>
      <c r="F127" s="31">
        <f>SUMIF(INPUT!$A$2:$A$396,'Output - 3 dígitos'!B127,INPUT!$C$2:$C$396)</f>
        <v>45559699</v>
      </c>
      <c r="G127" s="32">
        <f t="shared" si="3"/>
        <v>4.1616868099652628E-2</v>
      </c>
      <c r="J127" s="7" t="str">
        <v xml:space="preserve"> Servicios empresariales ncp</v>
      </c>
      <c r="K127" s="8">
        <v>2.5908798147104922E-2</v>
      </c>
    </row>
    <row r="128" spans="1:11" x14ac:dyDescent="0.4">
      <c r="A128" s="12" t="s">
        <v>430</v>
      </c>
      <c r="B128" s="10">
        <v>476</v>
      </c>
      <c r="C128" s="11" t="s">
        <v>195</v>
      </c>
      <c r="D128" s="12" t="str">
        <f t="shared" si="2"/>
        <v>Venta al por menor de bienes culturales y recreativos en comercios especializados</v>
      </c>
      <c r="E128" s="31">
        <f>SUMIF(INPUT!$A$2:$A$396,'Output - 3 dígitos'!B128,INPUT!$B$2:$B$396)</f>
        <v>76133857</v>
      </c>
      <c r="F128" s="31">
        <f>SUMIF(INPUT!$A$2:$A$396,'Output - 3 dígitos'!B128,INPUT!$C$2:$C$396)</f>
        <v>3701285</v>
      </c>
      <c r="G128" s="32">
        <f t="shared" si="3"/>
        <v>4.8615493104467306E-2</v>
      </c>
      <c r="J128" s="7" t="str">
        <v>Venta al por mayor de mercancías ncp</v>
      </c>
      <c r="K128" s="8">
        <v>2.5551429904635419E-2</v>
      </c>
    </row>
    <row r="129" spans="1:11" x14ac:dyDescent="0.4">
      <c r="A129" s="12" t="s">
        <v>430</v>
      </c>
      <c r="B129" s="10">
        <v>477</v>
      </c>
      <c r="C129" s="11" t="s">
        <v>194</v>
      </c>
      <c r="D129" s="12" t="str">
        <f t="shared" si="2"/>
        <v>Venta al por menor de productos ncp, en comercios especializados</v>
      </c>
      <c r="E129" s="31">
        <f>SUMIF(INPUT!$A$2:$A$396,'Output - 3 dígitos'!B129,INPUT!$B$2:$B$396)</f>
        <v>1090015413</v>
      </c>
      <c r="F129" s="31">
        <f>SUMIF(INPUT!$A$2:$A$396,'Output - 3 dígitos'!B129,INPUT!$C$2:$C$396)</f>
        <v>56590642</v>
      </c>
      <c r="G129" s="32">
        <f t="shared" si="3"/>
        <v>5.1917286054009221E-2</v>
      </c>
      <c r="J129" s="7" t="str">
        <v xml:space="preserve"> Cría de animales</v>
      </c>
      <c r="K129" s="8">
        <v>2.5385003123361418E-2</v>
      </c>
    </row>
    <row r="130" spans="1:11" x14ac:dyDescent="0.4">
      <c r="A130" s="12" t="s">
        <v>430</v>
      </c>
      <c r="B130" s="10">
        <v>478</v>
      </c>
      <c r="C130" s="11" t="s">
        <v>198</v>
      </c>
      <c r="D130" s="12" t="str">
        <f t="shared" si="2"/>
        <v>Venta al por menor en puestos móviles y mercados</v>
      </c>
      <c r="E130" s="31">
        <f>SUMIF(INPUT!$A$2:$A$396,'Output - 3 dígitos'!B130,INPUT!$B$2:$B$396)</f>
        <v>8269652</v>
      </c>
      <c r="F130" s="31">
        <f>SUMIF(INPUT!$A$2:$A$396,'Output - 3 dígitos'!B130,INPUT!$C$2:$C$396)</f>
        <v>837287</v>
      </c>
      <c r="G130" s="32">
        <f t="shared" si="3"/>
        <v>0.1012481540940296</v>
      </c>
      <c r="J130" s="7" t="str">
        <v xml:space="preserve"> Servicios de esparcimiento ncp</v>
      </c>
      <c r="K130" s="8">
        <v>2.5230940971986714E-2</v>
      </c>
    </row>
    <row r="131" spans="1:11" x14ac:dyDescent="0.4">
      <c r="A131" s="12" t="s">
        <v>430</v>
      </c>
      <c r="B131" s="10">
        <v>479</v>
      </c>
      <c r="C131" s="11" t="s">
        <v>191</v>
      </c>
      <c r="D131" s="12" t="str">
        <f t="shared" ref="D131:D194" si="4">SUBSTITUTE(SUBSTITUTE(SUBSTITUTE(SUBSTITUTE(SUBSTITUTE(SUBSTITUTE(SUBSTITUTE(C131,"Ã¡","á"),"Ã©","é"),"Ã­","í"),"Ã³","ó"),"Ãº","ú"),"Ã±","ñ"),"Ã","í")</f>
        <v>Venta al por menor no realizada en comercios, puestos o mercados</v>
      </c>
      <c r="E131" s="31">
        <f>SUMIF(INPUT!$A$2:$A$396,'Output - 3 dígitos'!B131,INPUT!$B$2:$B$396)</f>
        <v>58638728</v>
      </c>
      <c r="F131" s="31">
        <f>SUMIF(INPUT!$A$2:$A$396,'Output - 3 dígitos'!B131,INPUT!$C$2:$C$396)</f>
        <v>4834042</v>
      </c>
      <c r="G131" s="32">
        <f t="shared" ref="G131:G194" si="5">F131/E131</f>
        <v>8.2437702263937235E-2</v>
      </c>
      <c r="J131" s="7" t="str">
        <v xml:space="preserve"> Servicios de alojamiento en campings</v>
      </c>
      <c r="K131" s="8">
        <v>2.5188874966883688E-2</v>
      </c>
    </row>
    <row r="132" spans="1:11" x14ac:dyDescent="0.4">
      <c r="A132" s="12" t="s">
        <v>451</v>
      </c>
      <c r="B132" s="10">
        <v>491</v>
      </c>
      <c r="C132" s="11" t="s">
        <v>200</v>
      </c>
      <c r="D132" s="12" t="str">
        <f t="shared" si="4"/>
        <v>Servicio de transporte ferroviario</v>
      </c>
      <c r="E132" s="31">
        <f>SUMIF(INPUT!$A$2:$A$396,'Output - 3 dígitos'!B132,INPUT!$B$2:$B$396)</f>
        <v>33839419</v>
      </c>
      <c r="F132" s="31">
        <f>SUMIF(INPUT!$A$2:$A$396,'Output - 3 dígitos'!B132,INPUT!$C$2:$C$396)</f>
        <v>37345</v>
      </c>
      <c r="G132" s="32">
        <f t="shared" si="5"/>
        <v>1.1035945977677689E-3</v>
      </c>
      <c r="J132" s="7" t="str">
        <v xml:space="preserve"> Captación, depuración y distribución de agua</v>
      </c>
      <c r="K132" s="8">
        <v>2.472772928191062E-2</v>
      </c>
    </row>
    <row r="133" spans="1:11" x14ac:dyDescent="0.4">
      <c r="A133" s="12" t="s">
        <v>451</v>
      </c>
      <c r="B133" s="10">
        <v>492</v>
      </c>
      <c r="C133" s="11" t="s">
        <v>199</v>
      </c>
      <c r="D133" s="12" t="str">
        <f t="shared" si="4"/>
        <v xml:space="preserve">Servicio de transporte automotor </v>
      </c>
      <c r="E133" s="31">
        <f>SUMIF(INPUT!$A$2:$A$396,'Output - 3 dígitos'!B133,INPUT!$B$2:$B$396)</f>
        <v>2656619797</v>
      </c>
      <c r="F133" s="31">
        <f>SUMIF(INPUT!$A$2:$A$396,'Output - 3 dígitos'!B133,INPUT!$C$2:$C$396)</f>
        <v>83914957</v>
      </c>
      <c r="G133" s="32">
        <f t="shared" si="5"/>
        <v>3.1587115738112521E-2</v>
      </c>
      <c r="J133" s="7" t="str">
        <v xml:space="preserve"> Servicios inmobiliarios realizados por cuenta propia, con bienes propios o arrendados</v>
      </c>
      <c r="K133" s="8">
        <v>2.4220167703362428E-2</v>
      </c>
    </row>
    <row r="134" spans="1:11" x14ac:dyDescent="0.4">
      <c r="A134" s="12" t="s">
        <v>451</v>
      </c>
      <c r="B134" s="10">
        <v>493</v>
      </c>
      <c r="C134" s="11" t="s">
        <v>201</v>
      </c>
      <c r="D134" s="12" t="str">
        <f t="shared" si="4"/>
        <v>Servicio de transporte por tuberías</v>
      </c>
      <c r="E134" s="31">
        <f>SUMIF(INPUT!$A$2:$A$396,'Output - 3 dígitos'!B134,INPUT!$B$2:$B$396)</f>
        <v>221130504</v>
      </c>
      <c r="F134" s="31">
        <f>SUMIF(INPUT!$A$2:$A$396,'Output - 3 dígitos'!B134,INPUT!$C$2:$C$396)</f>
        <v>19440</v>
      </c>
      <c r="G134" s="32">
        <f t="shared" si="5"/>
        <v>8.7911887543113459E-5</v>
      </c>
      <c r="J134" s="7" t="str">
        <v xml:space="preserve"> Servicios de telecomunicaciones ncp</v>
      </c>
      <c r="K134" s="8">
        <v>2.396887242932301E-2</v>
      </c>
    </row>
    <row r="135" spans="1:11" x14ac:dyDescent="0.4">
      <c r="A135" s="12" t="s">
        <v>451</v>
      </c>
      <c r="B135" s="10">
        <v>501</v>
      </c>
      <c r="C135" s="11" t="s">
        <v>203</v>
      </c>
      <c r="D135" s="12" t="str">
        <f t="shared" si="4"/>
        <v>Servicio de transporte marítimo</v>
      </c>
      <c r="E135" s="31">
        <f>SUMIF(INPUT!$A$2:$A$396,'Output - 3 dígitos'!B135,INPUT!$B$2:$B$396)</f>
        <v>13795867</v>
      </c>
      <c r="F135" s="31">
        <f>SUMIF(INPUT!$A$2:$A$396,'Output - 3 dígitos'!B135,INPUT!$C$2:$C$396)</f>
        <v>47395</v>
      </c>
      <c r="G135" s="32">
        <f t="shared" si="5"/>
        <v>3.4354491819905192E-3</v>
      </c>
      <c r="J135" s="7" t="str">
        <v xml:space="preserve"> Servicios de emergencias y traslados</v>
      </c>
      <c r="K135" s="8">
        <v>2.2640520743577124E-2</v>
      </c>
    </row>
    <row r="136" spans="1:11" x14ac:dyDescent="0.4">
      <c r="A136" s="12" t="s">
        <v>451</v>
      </c>
      <c r="B136" s="10">
        <v>502</v>
      </c>
      <c r="C136" s="11" t="s">
        <v>202</v>
      </c>
      <c r="D136" s="12" t="str">
        <f t="shared" si="4"/>
        <v>Servicio de transporte fluvial y lacustre</v>
      </c>
      <c r="E136" s="31">
        <f>SUMIF(INPUT!$A$2:$A$396,'Output - 3 dígitos'!B136,INPUT!$B$2:$B$396)</f>
        <v>7556463</v>
      </c>
      <c r="F136" s="31">
        <f>SUMIF(INPUT!$A$2:$A$396,'Output - 3 dígitos'!B136,INPUT!$C$2:$C$396)</f>
        <v>474796</v>
      </c>
      <c r="G136" s="32">
        <f t="shared" si="5"/>
        <v>6.2833100618635992E-2</v>
      </c>
      <c r="J136" s="7" t="str">
        <v xml:space="preserve"> Producción y procesamiento de carne y productos cárnicos, excepto pescado</v>
      </c>
      <c r="K136" s="8">
        <v>2.2284793348006718E-2</v>
      </c>
    </row>
    <row r="137" spans="1:11" x14ac:dyDescent="0.4">
      <c r="A137" s="12" t="s">
        <v>451</v>
      </c>
      <c r="B137" s="10">
        <v>511</v>
      </c>
      <c r="C137" s="11" t="s">
        <v>205</v>
      </c>
      <c r="D137" s="12" t="str">
        <f t="shared" si="4"/>
        <v>Servicio de transporte aéreo de pasajeros</v>
      </c>
      <c r="E137" s="31">
        <f>SUMIF(INPUT!$A$2:$A$396,'Output - 3 dígitos'!B137,INPUT!$B$2:$B$396)</f>
        <v>220913234</v>
      </c>
      <c r="F137" s="31">
        <f>SUMIF(INPUT!$A$2:$A$396,'Output - 3 dígitos'!B137,INPUT!$C$2:$C$396)</f>
        <v>139493</v>
      </c>
      <c r="G137" s="32">
        <f t="shared" si="5"/>
        <v>6.3143795178880044E-4</v>
      </c>
      <c r="J137" s="7" t="str">
        <v xml:space="preserve"> Servicios para la práctica deportiva </v>
      </c>
      <c r="K137" s="8">
        <v>2.1980575868003484E-2</v>
      </c>
    </row>
    <row r="138" spans="1:11" x14ac:dyDescent="0.4">
      <c r="A138" s="12" t="s">
        <v>451</v>
      </c>
      <c r="B138" s="10">
        <v>512</v>
      </c>
      <c r="C138" s="11" t="s">
        <v>204</v>
      </c>
      <c r="D138" s="12" t="str">
        <f t="shared" si="4"/>
        <v>Servicio de transporte aéreo de cargas</v>
      </c>
      <c r="E138" s="31">
        <f>SUMIF(INPUT!$A$2:$A$396,'Output - 3 dígitos'!B138,INPUT!$B$2:$B$396)</f>
        <v>10680097</v>
      </c>
      <c r="F138" s="31">
        <f>SUMIF(INPUT!$A$2:$A$396,'Output - 3 dígitos'!B138,INPUT!$C$2:$C$396)</f>
        <v>197839</v>
      </c>
      <c r="G138" s="32">
        <f t="shared" si="5"/>
        <v>1.8524082693256439E-2</v>
      </c>
      <c r="J138" s="7" t="str">
        <v>Servicios de almacenamiento y depósito</v>
      </c>
      <c r="K138" s="8">
        <v>2.1795944223083299E-2</v>
      </c>
    </row>
    <row r="139" spans="1:11" x14ac:dyDescent="0.4">
      <c r="A139" s="12" t="s">
        <v>451</v>
      </c>
      <c r="B139" s="10">
        <v>521</v>
      </c>
      <c r="C139" s="11" t="s">
        <v>207</v>
      </c>
      <c r="D139" s="12" t="str">
        <f t="shared" si="4"/>
        <v xml:space="preserve">Servicios de manipulación de cargas </v>
      </c>
      <c r="E139" s="31">
        <f>SUMIF(INPUT!$A$2:$A$396,'Output - 3 dígitos'!B139,INPUT!$B$2:$B$396)</f>
        <v>52069970</v>
      </c>
      <c r="F139" s="31">
        <f>SUMIF(INPUT!$A$2:$A$396,'Output - 3 dígitos'!B139,INPUT!$C$2:$C$396)</f>
        <v>6266173</v>
      </c>
      <c r="G139" s="32">
        <f t="shared" si="5"/>
        <v>0.12034139831461398</v>
      </c>
      <c r="J139" s="7" t="str">
        <v xml:space="preserve"> Elaboración de aceites y grasas de origen vegetal</v>
      </c>
      <c r="K139" s="8">
        <v>2.1053956922442975E-2</v>
      </c>
    </row>
    <row r="140" spans="1:11" x14ac:dyDescent="0.4">
      <c r="A140" s="12" t="s">
        <v>451</v>
      </c>
      <c r="B140" s="10">
        <v>522</v>
      </c>
      <c r="C140" s="11" t="s">
        <v>209</v>
      </c>
      <c r="D140" s="12" t="str">
        <f t="shared" si="4"/>
        <v>Servicios de almacenamiento y depósito</v>
      </c>
      <c r="E140" s="31">
        <f>SUMIF(INPUT!$A$2:$A$396,'Output - 3 dígitos'!B140,INPUT!$B$2:$B$396)</f>
        <v>76496663</v>
      </c>
      <c r="F140" s="31">
        <f>SUMIF(INPUT!$A$2:$A$396,'Output - 3 dígitos'!B140,INPUT!$C$2:$C$396)</f>
        <v>1667317</v>
      </c>
      <c r="G140" s="32">
        <f t="shared" si="5"/>
        <v>2.1795944223083299E-2</v>
      </c>
      <c r="J140" s="7" t="str">
        <v xml:space="preserve"> Servicios de hospitales</v>
      </c>
      <c r="K140" s="8">
        <v>2.0623123735850516E-2</v>
      </c>
    </row>
    <row r="141" spans="1:11" x14ac:dyDescent="0.4">
      <c r="A141" s="12" t="s">
        <v>451</v>
      </c>
      <c r="B141" s="10">
        <v>523</v>
      </c>
      <c r="C141" s="11" t="s">
        <v>206</v>
      </c>
      <c r="D141" s="12" t="str">
        <f t="shared" si="4"/>
        <v xml:space="preserve">Servicios de gestión y logística para el transporte de mercaderías </v>
      </c>
      <c r="E141" s="31">
        <f>SUMIF(INPUT!$A$2:$A$396,'Output - 3 dígitos'!B141,INPUT!$B$2:$B$396)</f>
        <v>299300030</v>
      </c>
      <c r="F141" s="31">
        <f>SUMIF(INPUT!$A$2:$A$396,'Output - 3 dígitos'!B141,INPUT!$C$2:$C$396)</f>
        <v>20659067</v>
      </c>
      <c r="G141" s="32">
        <f t="shared" si="5"/>
        <v>6.9024607180961525E-2</v>
      </c>
      <c r="J141" s="7" t="str">
        <v xml:space="preserve"> Fabricación de sustancias químicas básicas</v>
      </c>
      <c r="K141" s="8">
        <v>2.0534877714194839E-2</v>
      </c>
    </row>
    <row r="142" spans="1:11" x14ac:dyDescent="0.4">
      <c r="A142" s="12" t="s">
        <v>451</v>
      </c>
      <c r="B142" s="10">
        <v>524</v>
      </c>
      <c r="C142" s="11" t="s">
        <v>208</v>
      </c>
      <c r="D142" s="12" t="str">
        <f t="shared" si="4"/>
        <v>Servicios complementarios para el transporte</v>
      </c>
      <c r="E142" s="31">
        <f>SUMIF(INPUT!$A$2:$A$396,'Output - 3 dígitos'!B142,INPUT!$B$2:$B$396)</f>
        <v>34188254</v>
      </c>
      <c r="F142" s="31">
        <f>SUMIF(INPUT!$A$2:$A$396,'Output - 3 dígitos'!B142,INPUT!$C$2:$C$396)</f>
        <v>660578</v>
      </c>
      <c r="G142" s="32">
        <f t="shared" si="5"/>
        <v>1.9321782270600892E-2</v>
      </c>
      <c r="J142" s="7" t="str">
        <v xml:space="preserve"> Alquiler de maquinaria y equipo ncp, sin personal</v>
      </c>
      <c r="K142" s="8">
        <v>2.0324465570286433E-2</v>
      </c>
    </row>
    <row r="143" spans="1:11" x14ac:dyDescent="0.4">
      <c r="A143" s="12" t="s">
        <v>451</v>
      </c>
      <c r="B143" s="10">
        <v>530</v>
      </c>
      <c r="C143" s="11" t="s">
        <v>210</v>
      </c>
      <c r="D143" s="12" t="str">
        <f t="shared" si="4"/>
        <v>Servicios de correos y mensajerías</v>
      </c>
      <c r="E143" s="31">
        <f>SUMIF(INPUT!$A$2:$A$396,'Output - 3 dígitos'!B143,INPUT!$B$2:$B$396)</f>
        <v>42782639</v>
      </c>
      <c r="F143" s="31">
        <f>SUMIF(INPUT!$A$2:$A$396,'Output - 3 dígitos'!B143,INPUT!$C$2:$C$396)</f>
        <v>2478969</v>
      </c>
      <c r="G143" s="32">
        <f t="shared" si="5"/>
        <v>5.7943340054361768E-2</v>
      </c>
      <c r="J143" s="7" t="str">
        <v xml:space="preserve"> Servicios de preparación de comidas para empresas y  servicios de comidas ncp</v>
      </c>
      <c r="K143" s="8">
        <v>2.0314717211142027E-2</v>
      </c>
    </row>
    <row r="144" spans="1:11" x14ac:dyDescent="0.4">
      <c r="A144" s="12" t="s">
        <v>464</v>
      </c>
      <c r="B144" s="10">
        <v>551</v>
      </c>
      <c r="C144" s="11" t="s">
        <v>211</v>
      </c>
      <c r="D144" s="12" t="str">
        <f t="shared" si="4"/>
        <v xml:space="preserve"> Servicios de alojamiento, excepto en camping</v>
      </c>
      <c r="E144" s="31">
        <f>SUMIF(INPUT!$A$2:$A$396,'Output - 3 dígitos'!B144,INPUT!$B$2:$B$396)</f>
        <v>125898001</v>
      </c>
      <c r="F144" s="31">
        <f>SUMIF(INPUT!$A$2:$A$396,'Output - 3 dígitos'!B144,INPUT!$C$2:$C$396)</f>
        <v>6779313</v>
      </c>
      <c r="G144" s="32">
        <f t="shared" si="5"/>
        <v>5.384766196565742E-2</v>
      </c>
      <c r="J144" s="7" t="str">
        <v xml:space="preserve"> Fabricación de productos de plástico</v>
      </c>
      <c r="K144" s="8">
        <v>1.9644554216449572E-2</v>
      </c>
    </row>
    <row r="145" spans="1:11" x14ac:dyDescent="0.4">
      <c r="A145" s="12" t="s">
        <v>464</v>
      </c>
      <c r="B145" s="10">
        <v>552</v>
      </c>
      <c r="C145" s="11" t="s">
        <v>212</v>
      </c>
      <c r="D145" s="12" t="str">
        <f t="shared" si="4"/>
        <v xml:space="preserve"> Servicios de alojamiento en campings</v>
      </c>
      <c r="E145" s="31">
        <f>SUMIF(INPUT!$A$2:$A$396,'Output - 3 dígitos'!B145,INPUT!$B$2:$B$396)</f>
        <v>2344011</v>
      </c>
      <c r="F145" s="31">
        <f>SUMIF(INPUT!$A$2:$A$396,'Output - 3 dígitos'!B145,INPUT!$C$2:$C$396)</f>
        <v>59043</v>
      </c>
      <c r="G145" s="32">
        <f t="shared" si="5"/>
        <v>2.5188874966883688E-2</v>
      </c>
      <c r="J145" s="7" t="str">
        <v>Servicios complementarios para el transporte</v>
      </c>
      <c r="K145" s="8">
        <v>1.9321782270600892E-2</v>
      </c>
    </row>
    <row r="146" spans="1:11" x14ac:dyDescent="0.4">
      <c r="A146" s="12" t="s">
        <v>464</v>
      </c>
      <c r="B146" s="10">
        <v>561</v>
      </c>
      <c r="C146" s="11" t="s">
        <v>214</v>
      </c>
      <c r="D146" s="12" t="str">
        <f t="shared" si="4"/>
        <v xml:space="preserve"> Servicios de expendio de comidas y bebidas</v>
      </c>
      <c r="E146" s="31">
        <f>SUMIF(INPUT!$A$2:$A$396,'Output - 3 dígitos'!B146,INPUT!$B$2:$B$396)</f>
        <v>247044411</v>
      </c>
      <c r="F146" s="31">
        <f>SUMIF(INPUT!$A$2:$A$396,'Output - 3 dígitos'!B146,INPUT!$C$2:$C$396)</f>
        <v>14428031</v>
      </c>
      <c r="G146" s="32">
        <f t="shared" si="5"/>
        <v>5.8402580093180091E-2</v>
      </c>
      <c r="J146" s="7" t="str">
        <v xml:space="preserve"> Fabricación de productos elaborados de metal ncp</v>
      </c>
      <c r="K146" s="8">
        <v>1.9127708966303371E-2</v>
      </c>
    </row>
    <row r="147" spans="1:11" x14ac:dyDescent="0.4">
      <c r="A147" s="12" t="s">
        <v>464</v>
      </c>
      <c r="B147" s="10">
        <v>562</v>
      </c>
      <c r="C147" s="11" t="s">
        <v>213</v>
      </c>
      <c r="D147" s="12" t="str">
        <f t="shared" si="4"/>
        <v xml:space="preserve"> Servicios de preparación de comidas para empresas y  servicios de comidas ncp</v>
      </c>
      <c r="E147" s="31">
        <f>SUMIF(INPUT!$A$2:$A$396,'Output - 3 dígitos'!B147,INPUT!$B$2:$B$396)</f>
        <v>78014672</v>
      </c>
      <c r="F147" s="31">
        <f>SUMIF(INPUT!$A$2:$A$396,'Output - 3 dígitos'!B147,INPUT!$C$2:$C$396)</f>
        <v>1584846</v>
      </c>
      <c r="G147" s="32">
        <f t="shared" si="5"/>
        <v>2.0314717211142027E-2</v>
      </c>
      <c r="J147" s="7" t="str">
        <v>Servicio de transporte aéreo de cargas</v>
      </c>
      <c r="K147" s="8">
        <v>1.8524082693256439E-2</v>
      </c>
    </row>
    <row r="148" spans="1:11" x14ac:dyDescent="0.4">
      <c r="A148" s="12" t="s">
        <v>451</v>
      </c>
      <c r="B148" s="10">
        <v>581</v>
      </c>
      <c r="C148" s="11" t="s">
        <v>215</v>
      </c>
      <c r="D148" s="12" t="str">
        <f t="shared" si="4"/>
        <v xml:space="preserve"> Edición</v>
      </c>
      <c r="E148" s="31">
        <f>SUMIF(INPUT!$A$2:$A$396,'Output - 3 dígitos'!B148,INPUT!$B$2:$B$396)</f>
        <v>9796481</v>
      </c>
      <c r="F148" s="31">
        <f>SUMIF(INPUT!$A$2:$A$396,'Output - 3 dígitos'!B148,INPUT!$C$2:$C$396)</f>
        <v>932949</v>
      </c>
      <c r="G148" s="32">
        <f t="shared" si="5"/>
        <v>9.5233073998714432E-2</v>
      </c>
      <c r="J148" s="7" t="str">
        <v xml:space="preserve"> Aserrado y cepillado de madera</v>
      </c>
      <c r="K148" s="8">
        <v>1.8155729179243452E-2</v>
      </c>
    </row>
    <row r="149" spans="1:11" x14ac:dyDescent="0.4">
      <c r="A149" s="12" t="s">
        <v>451</v>
      </c>
      <c r="B149" s="10">
        <v>591</v>
      </c>
      <c r="C149" s="11" t="s">
        <v>216</v>
      </c>
      <c r="D149" s="12" t="str">
        <f t="shared" si="4"/>
        <v xml:space="preserve"> Servicios de cinematografía</v>
      </c>
      <c r="E149" s="31">
        <f>SUMIF(INPUT!$A$2:$A$396,'Output - 3 dígitos'!B149,INPUT!$B$2:$B$396)</f>
        <v>7637680</v>
      </c>
      <c r="F149" s="31">
        <f>SUMIF(INPUT!$A$2:$A$396,'Output - 3 dígitos'!B149,INPUT!$C$2:$C$396)</f>
        <v>223604</v>
      </c>
      <c r="G149" s="32">
        <f t="shared" si="5"/>
        <v>2.9276429491678101E-2</v>
      </c>
      <c r="J149" s="7" t="str">
        <v xml:space="preserve"> Servicios de atención ambulatoria realizados por médicos y odontólogos</v>
      </c>
      <c r="K149" s="8">
        <v>1.71492080588765E-2</v>
      </c>
    </row>
    <row r="150" spans="1:11" x14ac:dyDescent="0.4">
      <c r="A150" s="12" t="s">
        <v>451</v>
      </c>
      <c r="B150" s="10">
        <v>592</v>
      </c>
      <c r="C150" s="11" t="s">
        <v>217</v>
      </c>
      <c r="D150" s="12" t="str">
        <f t="shared" si="4"/>
        <v xml:space="preserve"> Servicios de grabación de sonido y edición de música</v>
      </c>
      <c r="E150" s="31">
        <f>SUMIF(INPUT!$A$2:$A$396,'Output - 3 dígitos'!B150,INPUT!$B$2:$B$396)</f>
        <v>1963886</v>
      </c>
      <c r="F150" s="31">
        <f>SUMIF(INPUT!$A$2:$A$396,'Output - 3 dígitos'!B150,INPUT!$C$2:$C$396)</f>
        <v>19310</v>
      </c>
      <c r="G150" s="32">
        <f t="shared" si="5"/>
        <v>9.8325462883283449E-3</v>
      </c>
      <c r="J150" s="7" t="str">
        <v>Venta al por mayor de máquinas, equipo y materiales conexos</v>
      </c>
      <c r="K150" s="8">
        <v>1.7045901346178633E-2</v>
      </c>
    </row>
    <row r="151" spans="1:11" x14ac:dyDescent="0.4">
      <c r="A151" s="12" t="s">
        <v>451</v>
      </c>
      <c r="B151" s="10">
        <v>601</v>
      </c>
      <c r="C151" s="11" t="s">
        <v>218</v>
      </c>
      <c r="D151" s="12" t="str">
        <f t="shared" si="4"/>
        <v xml:space="preserve"> Emisión y retransmisión de radio</v>
      </c>
      <c r="E151" s="31">
        <f>SUMIF(INPUT!$A$2:$A$396,'Output - 3 dígitos'!B151,INPUT!$B$2:$B$396)</f>
        <v>4548606</v>
      </c>
      <c r="F151" s="31">
        <f>SUMIF(INPUT!$A$2:$A$396,'Output - 3 dígitos'!B151,INPUT!$C$2:$C$396)</f>
        <v>302420</v>
      </c>
      <c r="G151" s="32">
        <f t="shared" si="5"/>
        <v>6.6486303715907691E-2</v>
      </c>
      <c r="J151" s="7" t="str">
        <v xml:space="preserve"> Fabricación de aparatos e instrumentos para medir, verificar, ensayar, navegar y otros fines, excepto instrumentos de óptica</v>
      </c>
      <c r="K151" s="8">
        <v>1.5827537853122374E-2</v>
      </c>
    </row>
    <row r="152" spans="1:11" x14ac:dyDescent="0.4">
      <c r="A152" s="12" t="s">
        <v>451</v>
      </c>
      <c r="B152" s="10">
        <v>602</v>
      </c>
      <c r="C152" s="11" t="s">
        <v>219</v>
      </c>
      <c r="D152" s="12" t="str">
        <f t="shared" si="4"/>
        <v xml:space="preserve"> Servicios de televisión</v>
      </c>
      <c r="E152" s="31">
        <f>SUMIF(INPUT!$A$2:$A$396,'Output - 3 dígitos'!B152,INPUT!$B$2:$B$396)</f>
        <v>78545662</v>
      </c>
      <c r="F152" s="31">
        <f>SUMIF(INPUT!$A$2:$A$396,'Output - 3 dígitos'!B152,INPUT!$C$2:$C$396)</f>
        <v>362312</v>
      </c>
      <c r="G152" s="32">
        <f t="shared" si="5"/>
        <v>4.6127563352894013E-3</v>
      </c>
      <c r="J152" s="7" t="str">
        <v xml:space="preserve"> Servicios de telecomunicaciones vía satélite, excepto servicios de transmisión de televisión</v>
      </c>
      <c r="K152" s="8">
        <v>1.5513692826952313E-2</v>
      </c>
    </row>
    <row r="153" spans="1:11" x14ac:dyDescent="0.4">
      <c r="A153" s="12" t="s">
        <v>451</v>
      </c>
      <c r="B153" s="10">
        <v>611</v>
      </c>
      <c r="C153" s="11" t="s">
        <v>220</v>
      </c>
      <c r="D153" s="12" t="str">
        <f t="shared" si="4"/>
        <v xml:space="preserve"> Servicios de telefonía fija</v>
      </c>
      <c r="E153" s="31">
        <f>SUMIF(INPUT!$A$2:$A$396,'Output - 3 dígitos'!B153,INPUT!$B$2:$B$396)</f>
        <v>638655674</v>
      </c>
      <c r="F153" s="31">
        <f>SUMIF(INPUT!$A$2:$A$396,'Output - 3 dígitos'!B153,INPUT!$C$2:$C$396)</f>
        <v>27548</v>
      </c>
      <c r="G153" s="32">
        <f t="shared" si="5"/>
        <v>4.3134354115203554E-5</v>
      </c>
      <c r="J153" s="7" t="str">
        <v xml:space="preserve"> Producción de semillas y de otras formas de propagación de cultivos agrícolas</v>
      </c>
      <c r="K153" s="8">
        <v>1.5401757004311182E-2</v>
      </c>
    </row>
    <row r="154" spans="1:11" x14ac:dyDescent="0.4">
      <c r="A154" s="12" t="s">
        <v>451</v>
      </c>
      <c r="B154" s="10">
        <v>612</v>
      </c>
      <c r="C154" s="11" t="s">
        <v>222</v>
      </c>
      <c r="D154" s="12" t="str">
        <f t="shared" si="4"/>
        <v xml:space="preserve"> Servicios de telefonía móvil</v>
      </c>
      <c r="E154" s="31">
        <f>SUMIF(INPUT!$A$2:$A$396,'Output - 3 dígitos'!B154,INPUT!$B$2:$B$396)</f>
        <v>142143508</v>
      </c>
      <c r="F154" s="31">
        <f>SUMIF(INPUT!$A$2:$A$396,'Output - 3 dígitos'!B154,INPUT!$C$2:$C$396)</f>
        <v>28918</v>
      </c>
      <c r="G154" s="32">
        <f t="shared" si="5"/>
        <v>2.0344228453964989E-4</v>
      </c>
      <c r="J154" s="7" t="str">
        <v>Venta al por mayor de materias primas agropecuarias y de animales vivos</v>
      </c>
      <c r="K154" s="8">
        <v>1.5305395077257252E-2</v>
      </c>
    </row>
    <row r="155" spans="1:11" x14ac:dyDescent="0.4">
      <c r="A155" s="12" t="s">
        <v>451</v>
      </c>
      <c r="B155" s="10">
        <v>613</v>
      </c>
      <c r="C155" s="11" t="s">
        <v>224</v>
      </c>
      <c r="D155" s="12" t="str">
        <f t="shared" si="4"/>
        <v xml:space="preserve"> Servicios de telecomunicaciones vía satélite, excepto servicios de transmisión de televisión</v>
      </c>
      <c r="E155" s="31">
        <f>SUMIF(INPUT!$A$2:$A$396,'Output - 3 dígitos'!B155,INPUT!$B$2:$B$396)</f>
        <v>1658277</v>
      </c>
      <c r="F155" s="31">
        <f>SUMIF(INPUT!$A$2:$A$396,'Output - 3 dígitos'!B155,INPUT!$C$2:$C$396)</f>
        <v>25726</v>
      </c>
      <c r="G155" s="32">
        <f t="shared" si="5"/>
        <v>1.5513692826952313E-2</v>
      </c>
      <c r="J155" s="7" t="str">
        <v>Venta al por menor de combustible para vehículos automotores y motocicletas</v>
      </c>
      <c r="K155" s="8">
        <v>1.4755228765707987E-2</v>
      </c>
    </row>
    <row r="156" spans="1:11" x14ac:dyDescent="0.4">
      <c r="A156" s="12" t="s">
        <v>451</v>
      </c>
      <c r="B156" s="10">
        <v>614</v>
      </c>
      <c r="C156" s="11" t="s">
        <v>221</v>
      </c>
      <c r="D156" s="12" t="str">
        <f t="shared" si="4"/>
        <v xml:space="preserve"> Servicios de telecomunicación vía internet</v>
      </c>
      <c r="E156" s="31">
        <f>SUMIF(INPUT!$A$2:$A$396,'Output - 3 dígitos'!B156,INPUT!$B$2:$B$396)</f>
        <v>37203964</v>
      </c>
      <c r="F156" s="31">
        <f>SUMIF(INPUT!$A$2:$A$396,'Output - 3 dígitos'!B156,INPUT!$C$2:$C$396)</f>
        <v>402401</v>
      </c>
      <c r="G156" s="32">
        <f t="shared" si="5"/>
        <v>1.0816078630760959E-2</v>
      </c>
      <c r="J156" s="7" t="str">
        <v xml:space="preserve"> Fabricación de equipos y productos informáticos</v>
      </c>
      <c r="K156" s="8">
        <v>1.461296171498221E-2</v>
      </c>
    </row>
    <row r="157" spans="1:11" x14ac:dyDescent="0.4">
      <c r="A157" s="12" t="s">
        <v>451</v>
      </c>
      <c r="B157" s="10">
        <v>619</v>
      </c>
      <c r="C157" s="11" t="s">
        <v>223</v>
      </c>
      <c r="D157" s="12" t="str">
        <f t="shared" si="4"/>
        <v xml:space="preserve"> Servicios de telecomunicaciones ncp</v>
      </c>
      <c r="E157" s="31">
        <f>SUMIF(INPUT!$A$2:$A$396,'Output - 3 dígitos'!B157,INPUT!$B$2:$B$396)</f>
        <v>112346962</v>
      </c>
      <c r="F157" s="31">
        <f>SUMIF(INPUT!$A$2:$A$396,'Output - 3 dígitos'!B157,INPUT!$C$2:$C$396)</f>
        <v>2692830</v>
      </c>
      <c r="G157" s="32">
        <f t="shared" si="5"/>
        <v>2.396887242932301E-2</v>
      </c>
      <c r="J157" s="7" t="str">
        <v xml:space="preserve"> Elaboración de productos lácteos</v>
      </c>
      <c r="K157" s="8">
        <v>1.4569336750718592E-2</v>
      </c>
    </row>
    <row r="158" spans="1:11" x14ac:dyDescent="0.4">
      <c r="A158" s="12" t="s">
        <v>451</v>
      </c>
      <c r="B158" s="10">
        <v>620</v>
      </c>
      <c r="C158" s="11" t="s">
        <v>225</v>
      </c>
      <c r="D158" s="12" t="str">
        <f t="shared" si="4"/>
        <v xml:space="preserve"> Servicios de programación y consultoría informática y actividades conexas</v>
      </c>
      <c r="E158" s="31">
        <f>SUMIF(INPUT!$A$2:$A$396,'Output - 3 dígitos'!B158,INPUT!$B$2:$B$396)</f>
        <v>727226030</v>
      </c>
      <c r="F158" s="31">
        <f>SUMIF(INPUT!$A$2:$A$396,'Output - 3 dígitos'!B158,INPUT!$C$2:$C$396)</f>
        <v>4975623</v>
      </c>
      <c r="G158" s="32">
        <f t="shared" si="5"/>
        <v>6.8419209361909117E-3</v>
      </c>
      <c r="J158" s="7" t="str">
        <v xml:space="preserve"> Construcción y reparación de buques y embarcaciones</v>
      </c>
      <c r="K158" s="8">
        <v>1.3679128252590825E-2</v>
      </c>
    </row>
    <row r="159" spans="1:11" x14ac:dyDescent="0.4">
      <c r="A159" s="12" t="s">
        <v>451</v>
      </c>
      <c r="B159" s="10">
        <v>631</v>
      </c>
      <c r="C159" s="11" t="s">
        <v>226</v>
      </c>
      <c r="D159" s="12" t="str">
        <f t="shared" si="4"/>
        <v xml:space="preserve"> Procesamiento de datos,  hospedaje y actividades conexas</v>
      </c>
      <c r="E159" s="31">
        <f>SUMIF(INPUT!$A$2:$A$396,'Output - 3 dígitos'!B159,INPUT!$B$2:$B$396)</f>
        <v>388805149</v>
      </c>
      <c r="F159" s="31">
        <f>SUMIF(INPUT!$A$2:$A$396,'Output - 3 dígitos'!B159,INPUT!$C$2:$C$396)</f>
        <v>615113</v>
      </c>
      <c r="G159" s="32">
        <f t="shared" si="5"/>
        <v>1.5820598096040132E-3</v>
      </c>
      <c r="J159" s="7" t="str">
        <v xml:space="preserve"> Servicios inmobiliarios realizados a cambio de una retribución o por contrata</v>
      </c>
      <c r="K159" s="8">
        <v>1.3607684938661763E-2</v>
      </c>
    </row>
    <row r="160" spans="1:11" x14ac:dyDescent="0.4">
      <c r="A160" s="12" t="s">
        <v>451</v>
      </c>
      <c r="B160" s="10">
        <v>639</v>
      </c>
      <c r="C160" s="11" t="s">
        <v>227</v>
      </c>
      <c r="D160" s="12" t="str">
        <f t="shared" si="4"/>
        <v xml:space="preserve"> Servicios de agencias de noticias y servicios de información ncp</v>
      </c>
      <c r="E160" s="31">
        <f>SUMIF(INPUT!$A$2:$A$396,'Output - 3 dígitos'!B160,INPUT!$B$2:$B$396)</f>
        <v>6059468</v>
      </c>
      <c r="F160" s="31">
        <f>SUMIF(INPUT!$A$2:$A$396,'Output - 3 dígitos'!B160,INPUT!$C$2:$C$396)</f>
        <v>479497</v>
      </c>
      <c r="G160" s="32">
        <f t="shared" si="5"/>
        <v>7.9131864381493555E-2</v>
      </c>
      <c r="J160" s="7" t="str">
        <v xml:space="preserve"> Industrias manufactureras ncp</v>
      </c>
      <c r="K160" s="8">
        <v>1.3555550409688292E-2</v>
      </c>
    </row>
    <row r="161" spans="1:11" x14ac:dyDescent="0.4">
      <c r="A161" s="12" t="s">
        <v>482</v>
      </c>
      <c r="B161" s="10">
        <v>641</v>
      </c>
      <c r="C161" s="11" t="s">
        <v>228</v>
      </c>
      <c r="D161" s="12" t="str">
        <f t="shared" si="4"/>
        <v xml:space="preserve"> Intermediación monetaria </v>
      </c>
      <c r="E161" s="31">
        <f>SUMIF(INPUT!$A$2:$A$396,'Output - 3 dígitos'!B161,INPUT!$B$2:$B$396)</f>
        <v>4329356110</v>
      </c>
      <c r="F161" s="31">
        <f>SUMIF(INPUT!$A$2:$A$396,'Output - 3 dígitos'!B161,INPUT!$C$2:$C$396)</f>
        <v>13864</v>
      </c>
      <c r="G161" s="32">
        <f t="shared" si="5"/>
        <v>3.2023237746547949E-6</v>
      </c>
      <c r="J161" s="7" t="str">
        <v xml:space="preserve"> Fabricación de equipo médico y quirúrgico y de aparatos ortopédicos </v>
      </c>
      <c r="K161" s="8">
        <v>1.3519736052213252E-2</v>
      </c>
    </row>
    <row r="162" spans="1:11" x14ac:dyDescent="0.4">
      <c r="A162" s="12" t="s">
        <v>482</v>
      </c>
      <c r="B162" s="10">
        <v>642</v>
      </c>
      <c r="C162" s="11" t="s">
        <v>229</v>
      </c>
      <c r="D162" s="12" t="str">
        <f t="shared" si="4"/>
        <v xml:space="preserve"> Servicios de sociedades de cartera</v>
      </c>
      <c r="E162" s="31">
        <f>SUMIF(INPUT!$A$2:$A$396,'Output - 3 dígitos'!B162,INPUT!$B$2:$B$396)</f>
        <v>198478420</v>
      </c>
      <c r="F162" s="31">
        <f>SUMIF(INPUT!$A$2:$A$396,'Output - 3 dígitos'!B162,INPUT!$C$2:$C$396)</f>
        <v>7020</v>
      </c>
      <c r="G162" s="32">
        <f t="shared" si="5"/>
        <v>3.5369084457645318E-5</v>
      </c>
      <c r="J162" s="7" t="str">
        <v xml:space="preserve"> Fabricación de productos de la refinación del petróleo</v>
      </c>
      <c r="K162" s="8">
        <v>1.3219275376517485E-2</v>
      </c>
    </row>
    <row r="163" spans="1:11" x14ac:dyDescent="0.4">
      <c r="A163" s="12" t="s">
        <v>482</v>
      </c>
      <c r="B163" s="10">
        <v>643</v>
      </c>
      <c r="C163" s="11" t="s">
        <v>231</v>
      </c>
      <c r="D163" s="12" t="str">
        <f t="shared" si="4"/>
        <v xml:space="preserve"> Fondos y sociedades de inversión y entidades financieras similares</v>
      </c>
      <c r="E163" s="31">
        <f>SUMIF(INPUT!$A$2:$A$396,'Output - 3 dígitos'!B163,INPUT!$B$2:$B$396)</f>
        <v>402734784</v>
      </c>
      <c r="F163" s="31">
        <f>SUMIF(INPUT!$A$2:$A$396,'Output - 3 dígitos'!B163,INPUT!$C$2:$C$396)</f>
        <v>2997341</v>
      </c>
      <c r="G163" s="32">
        <f t="shared" si="5"/>
        <v>7.4424686396097339E-3</v>
      </c>
      <c r="J163" s="7" t="str">
        <v xml:space="preserve"> Obtención y dotación de personal</v>
      </c>
      <c r="K163" s="8">
        <v>1.2878813457908034E-2</v>
      </c>
    </row>
    <row r="164" spans="1:11" x14ac:dyDescent="0.4">
      <c r="A164" s="12" t="s">
        <v>482</v>
      </c>
      <c r="B164" s="10">
        <v>649</v>
      </c>
      <c r="C164" s="11" t="s">
        <v>230</v>
      </c>
      <c r="D164" s="12" t="str">
        <f t="shared" si="4"/>
        <v xml:space="preserve"> Servicios financieros excepto los de la banca central y las entidades financieras</v>
      </c>
      <c r="E164" s="31">
        <f>SUMIF(INPUT!$A$2:$A$396,'Output - 3 dígitos'!B164,INPUT!$B$2:$B$396)</f>
        <v>2636107817</v>
      </c>
      <c r="F164" s="31">
        <f>SUMIF(INPUT!$A$2:$A$396,'Output - 3 dígitos'!B164,INPUT!$C$2:$C$396)</f>
        <v>5879832</v>
      </c>
      <c r="G164" s="32">
        <f t="shared" si="5"/>
        <v>2.2304975396232056E-3</v>
      </c>
      <c r="J164" s="7" t="str">
        <v xml:space="preserve"> Fabricación de juegos y juguetes</v>
      </c>
      <c r="K164" s="8">
        <v>1.2721906816831566E-2</v>
      </c>
    </row>
    <row r="165" spans="1:11" x14ac:dyDescent="0.4">
      <c r="A165" s="12" t="s">
        <v>482</v>
      </c>
      <c r="B165" s="10">
        <v>651</v>
      </c>
      <c r="C165" s="11" t="s">
        <v>233</v>
      </c>
      <c r="D165" s="12" t="str">
        <f t="shared" si="4"/>
        <v xml:space="preserve"> Servicios de seguros</v>
      </c>
      <c r="E165" s="31">
        <f>SUMIF(INPUT!$A$2:$A$396,'Output - 3 dígitos'!B165,INPUT!$B$2:$B$396)</f>
        <v>67617651</v>
      </c>
      <c r="F165" s="31">
        <f>SUMIF(INPUT!$A$2:$A$396,'Output - 3 dígitos'!B165,INPUT!$C$2:$C$396)</f>
        <v>386275</v>
      </c>
      <c r="G165" s="32">
        <f t="shared" si="5"/>
        <v>5.7126355956967512E-3</v>
      </c>
      <c r="J165" s="7" t="str">
        <v xml:space="preserve"> Fabricación de partes, piezas y accesorios para vehículos automotores y sus motores</v>
      </c>
      <c r="K165" s="8">
        <v>1.2059310922337512E-2</v>
      </c>
    </row>
    <row r="166" spans="1:11" x14ac:dyDescent="0.4">
      <c r="A166" s="12" t="s">
        <v>482</v>
      </c>
      <c r="B166" s="10">
        <v>652</v>
      </c>
      <c r="C166" s="11" t="s">
        <v>234</v>
      </c>
      <c r="D166" s="12" t="str">
        <f t="shared" si="4"/>
        <v xml:space="preserve"> Reaseguros</v>
      </c>
      <c r="E166" s="31">
        <f>SUMIF(INPUT!$A$2:$A$396,'Output - 3 dígitos'!B166,INPUT!$B$2:$B$396)</f>
        <v>642938</v>
      </c>
      <c r="F166" s="31">
        <f>SUMIF(INPUT!$A$2:$A$396,'Output - 3 dígitos'!B166,INPUT!$C$2:$C$396)</f>
        <v>3003</v>
      </c>
      <c r="G166" s="32">
        <f t="shared" si="5"/>
        <v>4.6707458572988374E-3</v>
      </c>
      <c r="J166" s="7" t="str">
        <v xml:space="preserve"> Fundición de metales</v>
      </c>
      <c r="K166" s="8">
        <v>1.1442845661147595E-2</v>
      </c>
    </row>
    <row r="167" spans="1:11" x14ac:dyDescent="0.4">
      <c r="A167" s="12" t="s">
        <v>482</v>
      </c>
      <c r="B167" s="10">
        <v>653</v>
      </c>
      <c r="C167" s="11" t="s">
        <v>232</v>
      </c>
      <c r="D167" s="12" t="str">
        <f t="shared" si="4"/>
        <v xml:space="preserve"> Administración de fondos de pensiones</v>
      </c>
      <c r="E167" s="31">
        <f>SUMIF(INPUT!$A$2:$A$396,'Output - 3 dígitos'!B167,INPUT!$B$2:$B$396)</f>
        <v>1612159</v>
      </c>
      <c r="F167" s="31">
        <f>SUMIF(INPUT!$A$2:$A$396,'Output - 3 dígitos'!B167,INPUT!$C$2:$C$396)</f>
        <v>8910</v>
      </c>
      <c r="G167" s="32">
        <f t="shared" si="5"/>
        <v>5.5267501530556233E-3</v>
      </c>
      <c r="J167" s="7" t="str">
        <v xml:space="preserve"> Fabricación y distribución de gas  y de combustibles gaseosos por tuberías</v>
      </c>
      <c r="K167" s="8">
        <v>1.1283429106654686E-2</v>
      </c>
    </row>
    <row r="168" spans="1:11" x14ac:dyDescent="0.4">
      <c r="A168" s="12" t="s">
        <v>482</v>
      </c>
      <c r="B168" s="10">
        <v>661</v>
      </c>
      <c r="C168" s="11" t="s">
        <v>236</v>
      </c>
      <c r="D168" s="12" t="str">
        <f t="shared" si="4"/>
        <v xml:space="preserve"> Servicios auxiliares a la actividad financiera, excepto a los servicios de seguros </v>
      </c>
      <c r="E168" s="31">
        <f>SUMIF(INPUT!$A$2:$A$396,'Output - 3 dígitos'!B168,INPUT!$B$2:$B$396)</f>
        <v>218796610</v>
      </c>
      <c r="F168" s="31">
        <f>SUMIF(INPUT!$A$2:$A$396,'Output - 3 dígitos'!B168,INPUT!$C$2:$C$396)</f>
        <v>598017</v>
      </c>
      <c r="G168" s="32">
        <f t="shared" si="5"/>
        <v>2.7332096233118053E-3</v>
      </c>
      <c r="J168" s="7" t="str">
        <v xml:space="preserve"> Servicios de telecomunicación vía internet</v>
      </c>
      <c r="K168" s="8">
        <v>1.0816078630760959E-2</v>
      </c>
    </row>
    <row r="169" spans="1:11" x14ac:dyDescent="0.4">
      <c r="A169" s="12" t="s">
        <v>482</v>
      </c>
      <c r="B169" s="10">
        <v>662</v>
      </c>
      <c r="C169" s="11" t="s">
        <v>237</v>
      </c>
      <c r="D169" s="12" t="str">
        <f t="shared" si="4"/>
        <v xml:space="preserve"> Servicios auxiliares a los servicios de seguros </v>
      </c>
      <c r="E169" s="31">
        <f>SUMIF(INPUT!$A$2:$A$396,'Output - 3 dígitos'!B169,INPUT!$B$2:$B$396)</f>
        <v>9405068</v>
      </c>
      <c r="F169" s="31">
        <f>SUMIF(INPUT!$A$2:$A$396,'Output - 3 dígitos'!B169,INPUT!$C$2:$C$396)</f>
        <v>606997</v>
      </c>
      <c r="G169" s="32">
        <f t="shared" si="5"/>
        <v>6.4539352612867876E-2</v>
      </c>
      <c r="J169" s="7" t="str">
        <v xml:space="preserve"> Elaboración de productos alimenticios ncp</v>
      </c>
      <c r="K169" s="8">
        <v>1.0670802010609994E-2</v>
      </c>
    </row>
    <row r="170" spans="1:11" x14ac:dyDescent="0.4">
      <c r="A170" s="12" t="s">
        <v>482</v>
      </c>
      <c r="B170" s="10">
        <v>663</v>
      </c>
      <c r="C170" s="11" t="s">
        <v>235</v>
      </c>
      <c r="D170" s="12" t="str">
        <f t="shared" si="4"/>
        <v xml:space="preserve"> Servicios de gestión de fondos a cambio de una retribución o por contrata</v>
      </c>
      <c r="E170" s="31">
        <f>SUMIF(INPUT!$A$2:$A$396,'Output - 3 dígitos'!B170,INPUT!$B$2:$B$396)</f>
        <v>7571451</v>
      </c>
      <c r="F170" s="31">
        <f>SUMIF(INPUT!$A$2:$A$396,'Output - 3 dígitos'!B170,INPUT!$C$2:$C$396)</f>
        <v>445107</v>
      </c>
      <c r="G170" s="32">
        <f t="shared" si="5"/>
        <v>5.8787542836901407E-2</v>
      </c>
      <c r="J170" s="7" t="str">
        <v xml:space="preserve"> Fabricación  de equipo eléctrico ncp</v>
      </c>
      <c r="K170" s="8">
        <v>1.0246535297587E-2</v>
      </c>
    </row>
    <row r="171" spans="1:11" x14ac:dyDescent="0.4">
      <c r="A171" s="12" t="s">
        <v>493</v>
      </c>
      <c r="B171" s="10">
        <v>681</v>
      </c>
      <c r="C171" s="11" t="s">
        <v>239</v>
      </c>
      <c r="D171" s="12" t="str">
        <f t="shared" si="4"/>
        <v xml:space="preserve"> Servicios inmobiliarios realizados por cuenta propia, con bienes propios o arrendados</v>
      </c>
      <c r="E171" s="31">
        <f>SUMIF(INPUT!$A$2:$A$396,'Output - 3 dígitos'!B171,INPUT!$B$2:$B$396)</f>
        <v>139949609</v>
      </c>
      <c r="F171" s="31">
        <f>SUMIF(INPUT!$A$2:$A$396,'Output - 3 dígitos'!B171,INPUT!$C$2:$C$396)</f>
        <v>3389603</v>
      </c>
      <c r="G171" s="32">
        <f t="shared" si="5"/>
        <v>2.4220167703362428E-2</v>
      </c>
      <c r="J171" s="7" t="str">
        <v xml:space="preserve"> Servicios de grabación de sonido y edición de música</v>
      </c>
      <c r="K171" s="8">
        <v>9.8325462883283449E-3</v>
      </c>
    </row>
    <row r="172" spans="1:11" x14ac:dyDescent="0.4">
      <c r="A172" s="12" t="s">
        <v>493</v>
      </c>
      <c r="B172" s="10">
        <v>682</v>
      </c>
      <c r="C172" s="11" t="s">
        <v>238</v>
      </c>
      <c r="D172" s="12" t="str">
        <f t="shared" si="4"/>
        <v xml:space="preserve"> Servicios inmobiliarios realizados a cambio de una retribución o por contrata</v>
      </c>
      <c r="E172" s="31">
        <f>SUMIF(INPUT!$A$2:$A$396,'Output - 3 dígitos'!B172,INPUT!$B$2:$B$396)</f>
        <v>36771354</v>
      </c>
      <c r="F172" s="31">
        <f>SUMIF(INPUT!$A$2:$A$396,'Output - 3 dígitos'!B172,INPUT!$C$2:$C$396)</f>
        <v>500373</v>
      </c>
      <c r="G172" s="32">
        <f t="shared" si="5"/>
        <v>1.3607684938661763E-2</v>
      </c>
      <c r="J172" s="7" t="str">
        <v xml:space="preserve"> Servicios veterinarios</v>
      </c>
      <c r="K172" s="8">
        <v>9.1579131967894824E-3</v>
      </c>
    </row>
    <row r="173" spans="1:11" x14ac:dyDescent="0.4">
      <c r="A173" s="12" t="s">
        <v>493</v>
      </c>
      <c r="B173" s="10">
        <v>691</v>
      </c>
      <c r="C173" s="11" t="s">
        <v>240</v>
      </c>
      <c r="D173" s="12" t="str">
        <f t="shared" si="4"/>
        <v xml:space="preserve"> Servicios jurídicos</v>
      </c>
      <c r="E173" s="31">
        <f>SUMIF(INPUT!$A$2:$A$396,'Output - 3 dígitos'!B173,INPUT!$B$2:$B$396)</f>
        <v>62582886</v>
      </c>
      <c r="F173" s="31">
        <f>SUMIF(INPUT!$A$2:$A$396,'Output - 3 dígitos'!B173,INPUT!$C$2:$C$396)</f>
        <v>2300828</v>
      </c>
      <c r="G173" s="32">
        <f t="shared" si="5"/>
        <v>3.6764491813304996E-2</v>
      </c>
      <c r="J173" s="7" t="str">
        <v xml:space="preserve"> Extracción de piedra, arena y arcillas</v>
      </c>
      <c r="K173" s="8">
        <v>9.0011969189249617E-3</v>
      </c>
    </row>
    <row r="174" spans="1:11" x14ac:dyDescent="0.4">
      <c r="A174" s="12" t="s">
        <v>493</v>
      </c>
      <c r="B174" s="10">
        <v>692</v>
      </c>
      <c r="C174" s="11" t="s">
        <v>241</v>
      </c>
      <c r="D174" s="12" t="str">
        <f t="shared" si="4"/>
        <v xml:space="preserve"> Servicios de contabilidad, auditoría y asesoría fiscal</v>
      </c>
      <c r="E174" s="31">
        <f>SUMIF(INPUT!$A$2:$A$396,'Output - 3 dígitos'!B174,INPUT!$B$2:$B$396)</f>
        <v>58165412</v>
      </c>
      <c r="F174" s="31">
        <f>SUMIF(INPUT!$A$2:$A$396,'Output - 3 dígitos'!B174,INPUT!$C$2:$C$396)</f>
        <v>1614091</v>
      </c>
      <c r="G174" s="32">
        <f t="shared" si="5"/>
        <v>2.7750014046148252E-2</v>
      </c>
      <c r="J174" s="7" t="str">
        <v xml:space="preserve"> Servicios de apoyo a la silvicultura</v>
      </c>
      <c r="K174" s="8">
        <v>7.5973395647395787E-3</v>
      </c>
    </row>
    <row r="175" spans="1:11" x14ac:dyDescent="0.4">
      <c r="A175" s="12" t="s">
        <v>493</v>
      </c>
      <c r="B175" s="10">
        <v>702</v>
      </c>
      <c r="C175" s="11" t="s">
        <v>242</v>
      </c>
      <c r="D175" s="12" t="str">
        <f t="shared" si="4"/>
        <v xml:space="preserve"> Servicios de asesoramiento, dirección y gestión empresarial </v>
      </c>
      <c r="E175" s="31">
        <f>SUMIF(INPUT!$A$2:$A$396,'Output - 3 dígitos'!B175,INPUT!$B$2:$B$396)</f>
        <v>262431138</v>
      </c>
      <c r="F175" s="31">
        <f>SUMIF(INPUT!$A$2:$A$396,'Output - 3 dígitos'!B175,INPUT!$C$2:$C$396)</f>
        <v>19810573</v>
      </c>
      <c r="G175" s="32">
        <f t="shared" si="5"/>
        <v>7.5488652569879106E-2</v>
      </c>
      <c r="J175" s="7" t="str">
        <v xml:space="preserve"> Fondos y sociedades de inversión y entidades financieras similares</v>
      </c>
      <c r="K175" s="8">
        <v>7.4424686396097339E-3</v>
      </c>
    </row>
    <row r="176" spans="1:11" x14ac:dyDescent="0.4">
      <c r="A176" s="12" t="s">
        <v>493</v>
      </c>
      <c r="B176" s="10">
        <v>711</v>
      </c>
      <c r="C176" s="11" t="s">
        <v>244</v>
      </c>
      <c r="D176" s="12" t="str">
        <f t="shared" si="4"/>
        <v xml:space="preserve"> Servicios de arquitectura e ingeniería y servicios técnicos ncp</v>
      </c>
      <c r="E176" s="31">
        <f>SUMIF(INPUT!$A$2:$A$396,'Output - 3 dígitos'!B176,INPUT!$B$2:$B$396)</f>
        <v>132783204</v>
      </c>
      <c r="F176" s="31">
        <f>SUMIF(INPUT!$A$2:$A$396,'Output - 3 dígitos'!B176,INPUT!$C$2:$C$396)</f>
        <v>6039622</v>
      </c>
      <c r="G176" s="32">
        <f t="shared" si="5"/>
        <v>4.5484834060789799E-2</v>
      </c>
      <c r="J176" s="7" t="str">
        <v xml:space="preserve"> Fabricación de lámparas eléctricas y equipo de iluminación</v>
      </c>
      <c r="K176" s="8">
        <v>7.1968020174052816E-3</v>
      </c>
    </row>
    <row r="177" spans="1:11" x14ac:dyDescent="0.4">
      <c r="A177" s="12" t="s">
        <v>493</v>
      </c>
      <c r="B177" s="10">
        <v>712</v>
      </c>
      <c r="C177" s="11" t="s">
        <v>243</v>
      </c>
      <c r="D177" s="12" t="str">
        <f t="shared" si="4"/>
        <v xml:space="preserve"> Ensayos y análisis técnicos</v>
      </c>
      <c r="E177" s="31">
        <f>SUMIF(INPUT!$A$2:$A$396,'Output - 3 dígitos'!B177,INPUT!$B$2:$B$396)</f>
        <v>8306236</v>
      </c>
      <c r="F177" s="31">
        <f>SUMIF(INPUT!$A$2:$A$396,'Output - 3 dígitos'!B177,INPUT!$C$2:$C$396)</f>
        <v>822399</v>
      </c>
      <c r="G177" s="32">
        <f t="shared" si="5"/>
        <v>9.9009828278416367E-2</v>
      </c>
      <c r="J177" s="7" t="str">
        <v xml:space="preserve"> Caza, repoblación  de animales de caza y servicios de apoyo</v>
      </c>
      <c r="K177" s="8">
        <v>7.0220366352945016E-3</v>
      </c>
    </row>
    <row r="178" spans="1:11" x14ac:dyDescent="0.4">
      <c r="A178" s="12" t="s">
        <v>493</v>
      </c>
      <c r="B178" s="10">
        <v>721</v>
      </c>
      <c r="C178" s="11" t="s">
        <v>245</v>
      </c>
      <c r="D178" s="12" t="str">
        <f t="shared" si="4"/>
        <v xml:space="preserve"> Investigación y desarrollo experimental en el campo de la ingeniería y de las ciencias exactas y naturales</v>
      </c>
      <c r="E178" s="31">
        <f>SUMIF(INPUT!$A$2:$A$396,'Output - 3 dígitos'!B178,INPUT!$B$2:$B$396)</f>
        <v>28051030</v>
      </c>
      <c r="F178" s="31">
        <f>SUMIF(INPUT!$A$2:$A$396,'Output - 3 dígitos'!B178,INPUT!$C$2:$C$396)</f>
        <v>137161</v>
      </c>
      <c r="G178" s="32">
        <f t="shared" si="5"/>
        <v>4.8896956724940226E-3</v>
      </c>
      <c r="J178" s="7" t="str">
        <v xml:space="preserve"> Servicios de programación y consultoría informática y actividades conexas</v>
      </c>
      <c r="K178" s="8">
        <v>6.8419209361909117E-3</v>
      </c>
    </row>
    <row r="179" spans="1:11" x14ac:dyDescent="0.4">
      <c r="A179" s="12" t="s">
        <v>493</v>
      </c>
      <c r="B179" s="10">
        <v>722</v>
      </c>
      <c r="C179" s="11" t="s">
        <v>246</v>
      </c>
      <c r="D179" s="12" t="str">
        <f t="shared" si="4"/>
        <v xml:space="preserve"> Investigación  y desarrollo experimental en el campo de las ciencias sociales y las humanidades</v>
      </c>
      <c r="E179" s="31">
        <f>SUMIF(INPUT!$A$2:$A$396,'Output - 3 dígitos'!B179,INPUT!$B$2:$B$396)</f>
        <v>6301156</v>
      </c>
      <c r="F179" s="31">
        <f>SUMIF(INPUT!$A$2:$A$396,'Output - 3 dígitos'!B179,INPUT!$C$2:$C$396)</f>
        <v>11779</v>
      </c>
      <c r="G179" s="32">
        <f t="shared" si="5"/>
        <v>1.8693395307146816E-3</v>
      </c>
      <c r="J179" s="7" t="str">
        <v xml:space="preserve"> Servicios de seguros</v>
      </c>
      <c r="K179" s="8">
        <v>5.7126355956967512E-3</v>
      </c>
    </row>
    <row r="180" spans="1:11" x14ac:dyDescent="0.4">
      <c r="A180" s="12" t="s">
        <v>493</v>
      </c>
      <c r="B180" s="10">
        <v>731</v>
      </c>
      <c r="C180" s="11" t="s">
        <v>247</v>
      </c>
      <c r="D180" s="12" t="str">
        <f t="shared" si="4"/>
        <v xml:space="preserve"> Servicios de publicidad</v>
      </c>
      <c r="E180" s="31">
        <f>SUMIF(INPUT!$A$2:$A$396,'Output - 3 dígitos'!B180,INPUT!$B$2:$B$396)</f>
        <v>24119840</v>
      </c>
      <c r="F180" s="31">
        <f>SUMIF(INPUT!$A$2:$A$396,'Output - 3 dígitos'!B180,INPUT!$C$2:$C$396)</f>
        <v>1170695</v>
      </c>
      <c r="G180" s="32">
        <f t="shared" si="5"/>
        <v>4.8536598916079046E-2</v>
      </c>
      <c r="J180" s="7" t="str">
        <v xml:space="preserve"> Fabricación de instrumentos de música</v>
      </c>
      <c r="K180" s="8">
        <v>5.5303046811219121E-3</v>
      </c>
    </row>
    <row r="181" spans="1:11" x14ac:dyDescent="0.4">
      <c r="A181" s="12" t="s">
        <v>493</v>
      </c>
      <c r="B181" s="10">
        <v>732</v>
      </c>
      <c r="C181" s="11" t="s">
        <v>248</v>
      </c>
      <c r="D181" s="12" t="str">
        <f t="shared" si="4"/>
        <v xml:space="preserve"> Estudio de mercado, realización de encuestas de opinión pública</v>
      </c>
      <c r="E181" s="31">
        <f>SUMIF(INPUT!$A$2:$A$396,'Output - 3 dígitos'!B181,INPUT!$B$2:$B$396)</f>
        <v>43858248</v>
      </c>
      <c r="F181" s="31">
        <f>SUMIF(INPUT!$A$2:$A$396,'Output - 3 dígitos'!B181,INPUT!$C$2:$C$396)</f>
        <v>11234</v>
      </c>
      <c r="G181" s="32">
        <f t="shared" si="5"/>
        <v>2.5614338265404492E-4</v>
      </c>
      <c r="J181" s="7" t="str">
        <v xml:space="preserve"> Administración de fondos de pensiones</v>
      </c>
      <c r="K181" s="8">
        <v>5.5267501530556233E-3</v>
      </c>
    </row>
    <row r="182" spans="1:11" x14ac:dyDescent="0.4">
      <c r="A182" s="12" t="s">
        <v>493</v>
      </c>
      <c r="B182" s="10">
        <v>741</v>
      </c>
      <c r="C182" s="11" t="s">
        <v>250</v>
      </c>
      <c r="D182" s="12" t="str">
        <f t="shared" si="4"/>
        <v xml:space="preserve"> Servicios de diseño especializado</v>
      </c>
      <c r="E182" s="31">
        <f>SUMIF(INPUT!$A$2:$A$396,'Output - 3 dígitos'!B182,INPUT!$B$2:$B$396)</f>
        <v>13648844</v>
      </c>
      <c r="F182" s="31">
        <f>SUMIF(INPUT!$A$2:$A$396,'Output - 3 dígitos'!B182,INPUT!$C$2:$C$396)</f>
        <v>1138304</v>
      </c>
      <c r="G182" s="32">
        <f t="shared" si="5"/>
        <v>8.3399297405699707E-2</v>
      </c>
      <c r="J182" s="7" t="str">
        <v xml:space="preserve"> Reproducción de grabaciones</v>
      </c>
      <c r="K182" s="8">
        <v>5.4123306190461216E-3</v>
      </c>
    </row>
    <row r="183" spans="1:11" x14ac:dyDescent="0.4">
      <c r="A183" s="12" t="s">
        <v>493</v>
      </c>
      <c r="B183" s="10">
        <v>742</v>
      </c>
      <c r="C183" s="11" t="s">
        <v>251</v>
      </c>
      <c r="D183" s="12" t="str">
        <f t="shared" si="4"/>
        <v xml:space="preserve"> Servicios de fotografía </v>
      </c>
      <c r="E183" s="31">
        <f>SUMIF(INPUT!$A$2:$A$396,'Output - 3 dígitos'!B183,INPUT!$B$2:$B$396)</f>
        <v>2185406</v>
      </c>
      <c r="F183" s="31">
        <f>SUMIF(INPUT!$A$2:$A$396,'Output - 3 dígitos'!B183,INPUT!$C$2:$C$396)</f>
        <v>62447</v>
      </c>
      <c r="G183" s="32">
        <f t="shared" si="5"/>
        <v>2.857455319515001E-2</v>
      </c>
      <c r="J183" s="7" t="str">
        <v xml:space="preserve"> Fabricación de maquinaria y equipo de uso general</v>
      </c>
      <c r="K183" s="8">
        <v>5.151892616310689E-3</v>
      </c>
    </row>
    <row r="184" spans="1:11" x14ac:dyDescent="0.4">
      <c r="A184" s="12" t="s">
        <v>493</v>
      </c>
      <c r="B184" s="10">
        <v>749</v>
      </c>
      <c r="C184" s="11" t="s">
        <v>249</v>
      </c>
      <c r="D184" s="12" t="str">
        <f t="shared" si="4"/>
        <v xml:space="preserve"> Actividades profesionales, científicas y técnicas ncp</v>
      </c>
      <c r="E184" s="31">
        <f>SUMIF(INPUT!$A$2:$A$396,'Output - 3 dígitos'!B184,INPUT!$B$2:$B$396)</f>
        <v>34690305</v>
      </c>
      <c r="F184" s="31">
        <f>SUMIF(INPUT!$A$2:$A$396,'Output - 3 dígitos'!B184,INPUT!$C$2:$C$396)</f>
        <v>3706392</v>
      </c>
      <c r="G184" s="32">
        <f t="shared" si="5"/>
        <v>0.10684230075232835</v>
      </c>
      <c r="J184" s="7" t="str">
        <v xml:space="preserve"> Investigación y desarrollo experimental en el campo de la ingeniería y de las ciencias exactas y naturales</v>
      </c>
      <c r="K184" s="8">
        <v>4.8896956724940226E-3</v>
      </c>
    </row>
    <row r="185" spans="1:11" x14ac:dyDescent="0.4">
      <c r="A185" s="12" t="s">
        <v>493</v>
      </c>
      <c r="B185" s="10">
        <v>750</v>
      </c>
      <c r="C185" s="11" t="s">
        <v>252</v>
      </c>
      <c r="D185" s="12" t="str">
        <f t="shared" si="4"/>
        <v xml:space="preserve"> Servicios veterinarios</v>
      </c>
      <c r="E185" s="31">
        <f>SUMIF(INPUT!$A$2:$A$396,'Output - 3 dígitos'!B185,INPUT!$B$2:$B$396)</f>
        <v>24935921</v>
      </c>
      <c r="F185" s="31">
        <f>SUMIF(INPUT!$A$2:$A$396,'Output - 3 dígitos'!B185,INPUT!$C$2:$C$396)</f>
        <v>228361</v>
      </c>
      <c r="G185" s="32">
        <f t="shared" si="5"/>
        <v>9.1579131967894824E-3</v>
      </c>
      <c r="J185" s="7" t="str">
        <v xml:space="preserve"> Servicios de sindicatos</v>
      </c>
      <c r="K185" s="8">
        <v>4.7191973770621511E-3</v>
      </c>
    </row>
    <row r="186" spans="1:11" x14ac:dyDescent="0.4">
      <c r="A186" s="12" t="s">
        <v>493</v>
      </c>
      <c r="B186" s="10">
        <v>771</v>
      </c>
      <c r="C186" s="11" t="s">
        <v>253</v>
      </c>
      <c r="D186" s="12" t="str">
        <f t="shared" si="4"/>
        <v xml:space="preserve"> Alquiler de vehículos automotores y equipo de transporte sin conductor ni operarios</v>
      </c>
      <c r="E186" s="31">
        <f>SUMIF(INPUT!$A$2:$A$396,'Output - 3 dígitos'!B186,INPUT!$B$2:$B$396)</f>
        <v>155631611</v>
      </c>
      <c r="F186" s="31">
        <f>SUMIF(INPUT!$A$2:$A$396,'Output - 3 dígitos'!B186,INPUT!$C$2:$C$396)</f>
        <v>5073868</v>
      </c>
      <c r="G186" s="32">
        <f t="shared" si="5"/>
        <v>3.2601782937272297E-2</v>
      </c>
      <c r="J186" s="7" t="str">
        <v xml:space="preserve"> Reaseguros</v>
      </c>
      <c r="K186" s="8">
        <v>4.6707458572988374E-3</v>
      </c>
    </row>
    <row r="187" spans="1:11" x14ac:dyDescent="0.4">
      <c r="A187" s="12" t="s">
        <v>493</v>
      </c>
      <c r="B187" s="10">
        <v>772</v>
      </c>
      <c r="C187" s="11" t="s">
        <v>255</v>
      </c>
      <c r="D187" s="12" t="str">
        <f t="shared" si="4"/>
        <v xml:space="preserve"> Alquiler de efectos personales y enseres domésticos </v>
      </c>
      <c r="E187" s="31">
        <f>SUMIF(INPUT!$A$2:$A$396,'Output - 3 dígitos'!B187,INPUT!$B$2:$B$396)</f>
        <v>951838</v>
      </c>
      <c r="F187" s="31">
        <f>SUMIF(INPUT!$A$2:$A$396,'Output - 3 dígitos'!B187,INPUT!$C$2:$C$396)</f>
        <v>24928</v>
      </c>
      <c r="G187" s="32">
        <f t="shared" si="5"/>
        <v>2.6189330537339336E-2</v>
      </c>
      <c r="J187" s="7" t="str">
        <v xml:space="preserve"> Servicios de televisión</v>
      </c>
      <c r="K187" s="8">
        <v>4.6127563352894013E-3</v>
      </c>
    </row>
    <row r="188" spans="1:11" x14ac:dyDescent="0.4">
      <c r="A188" s="12" t="s">
        <v>493</v>
      </c>
      <c r="B188" s="10">
        <v>773</v>
      </c>
      <c r="C188" s="11" t="s">
        <v>254</v>
      </c>
      <c r="D188" s="12" t="str">
        <f t="shared" si="4"/>
        <v xml:space="preserve"> Alquiler de maquinaria y equipo ncp, sin personal</v>
      </c>
      <c r="E188" s="31">
        <f>SUMIF(INPUT!$A$2:$A$396,'Output - 3 dígitos'!B188,INPUT!$B$2:$B$396)</f>
        <v>56378555</v>
      </c>
      <c r="F188" s="31">
        <f>SUMIF(INPUT!$A$2:$A$396,'Output - 3 dígitos'!B188,INPUT!$C$2:$C$396)</f>
        <v>1145864</v>
      </c>
      <c r="G188" s="32">
        <f t="shared" si="5"/>
        <v>2.0324465570286433E-2</v>
      </c>
      <c r="J188" s="7" t="str">
        <v xml:space="preserve"> Elaboración de productos de tabaco</v>
      </c>
      <c r="K188" s="8">
        <v>4.4012315946401516E-3</v>
      </c>
    </row>
    <row r="189" spans="1:11" x14ac:dyDescent="0.4">
      <c r="A189" s="12" t="s">
        <v>493</v>
      </c>
      <c r="B189" s="10">
        <v>774</v>
      </c>
      <c r="C189" s="11" t="s">
        <v>256</v>
      </c>
      <c r="D189" s="12" t="str">
        <f t="shared" si="4"/>
        <v xml:space="preserve"> Arrendamiento y gestión de bienes intangibles no financieros</v>
      </c>
      <c r="E189" s="31">
        <f>SUMIF(INPUT!$A$2:$A$396,'Output - 3 dígitos'!B189,INPUT!$B$2:$B$396)</f>
        <v>8711476</v>
      </c>
      <c r="F189" s="31">
        <f>SUMIF(INPUT!$A$2:$A$396,'Output - 3 dígitos'!B189,INPUT!$C$2:$C$396)</f>
        <v>368704</v>
      </c>
      <c r="G189" s="32">
        <f t="shared" si="5"/>
        <v>4.2323941430820682E-2</v>
      </c>
      <c r="J189" s="7" t="str">
        <v xml:space="preserve"> Extracción y aglomeración de carbón </v>
      </c>
      <c r="K189" s="8">
        <v>4.2984860771836959E-3</v>
      </c>
    </row>
    <row r="190" spans="1:11" x14ac:dyDescent="0.4">
      <c r="A190" s="12" t="s">
        <v>493</v>
      </c>
      <c r="B190" s="10">
        <v>780</v>
      </c>
      <c r="C190" s="11" t="s">
        <v>257</v>
      </c>
      <c r="D190" s="12" t="str">
        <f t="shared" si="4"/>
        <v xml:space="preserve"> Obtención y dotación de personal</v>
      </c>
      <c r="E190" s="31">
        <f>SUMIF(INPUT!$A$2:$A$396,'Output - 3 dígitos'!B190,INPUT!$B$2:$B$396)</f>
        <v>21768465</v>
      </c>
      <c r="F190" s="31">
        <f>SUMIF(INPUT!$A$2:$A$396,'Output - 3 dígitos'!B190,INPUT!$C$2:$C$396)</f>
        <v>280352</v>
      </c>
      <c r="G190" s="32">
        <f t="shared" si="5"/>
        <v>1.2878813457908034E-2</v>
      </c>
      <c r="J190" s="7" t="str">
        <v xml:space="preserve"> Fabricación de maquinaria y equipo de uso especial</v>
      </c>
      <c r="K190" s="8">
        <v>4.2926602669539219E-3</v>
      </c>
    </row>
    <row r="191" spans="1:11" x14ac:dyDescent="0.4">
      <c r="A191" s="12" t="s">
        <v>493</v>
      </c>
      <c r="B191" s="10">
        <v>791</v>
      </c>
      <c r="C191" s="11" t="s">
        <v>258</v>
      </c>
      <c r="D191" s="12" t="str">
        <f t="shared" si="4"/>
        <v xml:space="preserve"> Servicios de agencias de viaje y otras actividades complementarias de apoyo turístico</v>
      </c>
      <c r="E191" s="31">
        <f>SUMIF(INPUT!$A$2:$A$396,'Output - 3 dígitos'!B191,INPUT!$B$2:$B$396)</f>
        <v>112814906</v>
      </c>
      <c r="F191" s="31">
        <f>SUMIF(INPUT!$A$2:$A$396,'Output - 3 dígitos'!B191,INPUT!$C$2:$C$396)</f>
        <v>6232174</v>
      </c>
      <c r="G191" s="32">
        <f t="shared" si="5"/>
        <v>5.5242469465870053E-2</v>
      </c>
      <c r="J191" s="7" t="str">
        <v xml:space="preserve"> Industrias básicas de hierro y acero</v>
      </c>
      <c r="K191" s="8">
        <v>4.2806481461395767E-3</v>
      </c>
    </row>
    <row r="192" spans="1:11" x14ac:dyDescent="0.4">
      <c r="A192" s="12" t="s">
        <v>493</v>
      </c>
      <c r="B192" s="10">
        <v>801</v>
      </c>
      <c r="C192" s="11" t="s">
        <v>259</v>
      </c>
      <c r="D192" s="12" t="str">
        <f t="shared" si="4"/>
        <v xml:space="preserve"> Servicios de seguridad e investigación</v>
      </c>
      <c r="E192" s="31">
        <f>SUMIF(INPUT!$A$2:$A$396,'Output - 3 dígitos'!B192,INPUT!$B$2:$B$396)</f>
        <v>62605812</v>
      </c>
      <c r="F192" s="31">
        <f>SUMIF(INPUT!$A$2:$A$396,'Output - 3 dígitos'!B192,INPUT!$C$2:$C$396)</f>
        <v>6686828</v>
      </c>
      <c r="G192" s="32">
        <f t="shared" si="5"/>
        <v>0.10680842219569008</v>
      </c>
      <c r="J192" s="7" t="str">
        <v xml:space="preserve"> Venta de vehículos automotores, excepto motocicletas</v>
      </c>
      <c r="K192" s="8">
        <v>4.1242497501706773E-3</v>
      </c>
    </row>
    <row r="193" spans="1:11" x14ac:dyDescent="0.4">
      <c r="A193" s="12" t="s">
        <v>493</v>
      </c>
      <c r="B193" s="10">
        <v>811</v>
      </c>
      <c r="C193" s="11" t="s">
        <v>261</v>
      </c>
      <c r="D193" s="12" t="str">
        <f t="shared" si="4"/>
        <v xml:space="preserve"> Servicio combinado de apoyo a edificios</v>
      </c>
      <c r="E193" s="31">
        <f>SUMIF(INPUT!$A$2:$A$396,'Output - 3 dígitos'!B193,INPUT!$B$2:$B$396)</f>
        <v>817214</v>
      </c>
      <c r="F193" s="31">
        <f>SUMIF(INPUT!$A$2:$A$396,'Output - 3 dígitos'!B193,INPUT!$C$2:$C$396)</f>
        <v>72670</v>
      </c>
      <c r="G193" s="32">
        <f t="shared" si="5"/>
        <v>8.8924076190569426E-2</v>
      </c>
      <c r="J193" s="7" t="str">
        <v>Servicio de transporte marítimo</v>
      </c>
      <c r="K193" s="8">
        <v>3.4354491819905192E-3</v>
      </c>
    </row>
    <row r="194" spans="1:11" x14ac:dyDescent="0.4">
      <c r="A194" s="12" t="s">
        <v>493</v>
      </c>
      <c r="B194" s="10">
        <v>812</v>
      </c>
      <c r="C194" s="11" t="s">
        <v>260</v>
      </c>
      <c r="D194" s="12" t="str">
        <f t="shared" si="4"/>
        <v xml:space="preserve"> Servicios de limpieza de edificios </v>
      </c>
      <c r="E194" s="31">
        <f>SUMIF(INPUT!$A$2:$A$396,'Output - 3 dígitos'!B194,INPUT!$B$2:$B$396)</f>
        <v>54707049</v>
      </c>
      <c r="F194" s="31">
        <f>SUMIF(INPUT!$A$2:$A$396,'Output - 3 dígitos'!B194,INPUT!$C$2:$C$396)</f>
        <v>2341308</v>
      </c>
      <c r="G194" s="32">
        <f t="shared" si="5"/>
        <v>4.2797190541204295E-2</v>
      </c>
      <c r="J194" s="7" t="str">
        <v xml:space="preserve"> Fabricación de equipo de transporte ncp</v>
      </c>
      <c r="K194" s="8">
        <v>3.3822312658497323E-3</v>
      </c>
    </row>
    <row r="195" spans="1:11" x14ac:dyDescent="0.4">
      <c r="A195" s="12" t="s">
        <v>493</v>
      </c>
      <c r="B195" s="10">
        <v>813</v>
      </c>
      <c r="C195" s="11" t="s">
        <v>262</v>
      </c>
      <c r="D195" s="12" t="str">
        <f t="shared" ref="D195:D227" si="6">SUBSTITUTE(SUBSTITUTE(SUBSTITUTE(SUBSTITUTE(SUBSTITUTE(SUBSTITUTE(SUBSTITUTE(C195,"Ã¡","á"),"Ã©","é"),"Ã­","í"),"Ã³","ó"),"Ãº","ú"),"Ã±","ñ"),"Ã","í")</f>
        <v xml:space="preserve"> Servicios de jardinería y mantenimiento de espacios verdes</v>
      </c>
      <c r="E195" s="31">
        <f>SUMIF(INPUT!$A$2:$A$396,'Output - 3 dígitos'!B195,INPUT!$B$2:$B$396)</f>
        <v>7130998</v>
      </c>
      <c r="F195" s="31">
        <f>SUMIF(INPUT!$A$2:$A$396,'Output - 3 dígitos'!B195,INPUT!$C$2:$C$396)</f>
        <v>277749</v>
      </c>
      <c r="G195" s="32">
        <f t="shared" ref="G195:G227" si="7">F195/E195</f>
        <v>3.8949527120888269E-2</v>
      </c>
      <c r="J195" s="7" t="str">
        <v xml:space="preserve"> Extracción de petróleo crudo</v>
      </c>
      <c r="K195" s="8">
        <v>3.2776223566333782E-3</v>
      </c>
    </row>
    <row r="196" spans="1:11" x14ac:dyDescent="0.4">
      <c r="A196" s="12" t="s">
        <v>493</v>
      </c>
      <c r="B196" s="10">
        <v>821</v>
      </c>
      <c r="C196" s="11" t="s">
        <v>265</v>
      </c>
      <c r="D196" s="12" t="str">
        <f t="shared" si="6"/>
        <v xml:space="preserve"> Servicios de apoyo a la administración de oficinas y empresas</v>
      </c>
      <c r="E196" s="31">
        <f>SUMIF(INPUT!$A$2:$A$396,'Output - 3 dígitos'!B196,INPUT!$B$2:$B$396)</f>
        <v>8752875</v>
      </c>
      <c r="F196" s="31">
        <f>SUMIF(INPUT!$A$2:$A$396,'Output - 3 dígitos'!B196,INPUT!$C$2:$C$396)</f>
        <v>994793</v>
      </c>
      <c r="G196" s="32">
        <f t="shared" si="7"/>
        <v>0.11365328534909958</v>
      </c>
      <c r="J196" s="7" t="str">
        <v xml:space="preserve"> Fabricación de instrumentos de óptica y equipo fotográfico</v>
      </c>
      <c r="K196" s="8">
        <v>3.169894914154208E-3</v>
      </c>
    </row>
    <row r="197" spans="1:11" x14ac:dyDescent="0.4">
      <c r="A197" s="12" t="s">
        <v>493</v>
      </c>
      <c r="B197" s="10">
        <v>822</v>
      </c>
      <c r="C197" s="11" t="s">
        <v>264</v>
      </c>
      <c r="D197" s="12" t="str">
        <f t="shared" si="6"/>
        <v xml:space="preserve"> Servicios de call center</v>
      </c>
      <c r="E197" s="31">
        <f>SUMIF(INPUT!$A$2:$A$396,'Output - 3 dígitos'!B197,INPUT!$B$2:$B$396)</f>
        <v>9596863</v>
      </c>
      <c r="F197" s="31">
        <f>SUMIF(INPUT!$A$2:$A$396,'Output - 3 dígitos'!B197,INPUT!$C$2:$C$396)</f>
        <v>430387</v>
      </c>
      <c r="G197" s="32">
        <f t="shared" si="7"/>
        <v>4.4846633738545603E-2</v>
      </c>
      <c r="J197" s="7" t="str">
        <v xml:space="preserve"> Servicios auxiliares a la actividad financiera, excepto a los servicios de seguros </v>
      </c>
      <c r="K197" s="8">
        <v>2.7332096233118053E-3</v>
      </c>
    </row>
    <row r="198" spans="1:11" x14ac:dyDescent="0.4">
      <c r="A198" s="12" t="s">
        <v>493</v>
      </c>
      <c r="B198" s="10">
        <v>823</v>
      </c>
      <c r="C198" s="11" t="s">
        <v>266</v>
      </c>
      <c r="D198" s="12" t="str">
        <f t="shared" si="6"/>
        <v xml:space="preserve"> Servicios de organización de convenciones y exposiciones comerciales, excepto culturales y deportivos</v>
      </c>
      <c r="E198" s="31">
        <f>SUMIF(INPUT!$A$2:$A$396,'Output - 3 dígitos'!B198,INPUT!$B$2:$B$396)</f>
        <v>3303853</v>
      </c>
      <c r="F198" s="31">
        <f>SUMIF(INPUT!$A$2:$A$396,'Output - 3 dígitos'!B198,INPUT!$C$2:$C$396)</f>
        <v>244496</v>
      </c>
      <c r="G198" s="32">
        <f t="shared" si="7"/>
        <v>7.4003292519370559E-2</v>
      </c>
      <c r="J198" s="7" t="str">
        <v xml:space="preserve"> Servicios de apoyo para la extracción de petróleo y gas natural</v>
      </c>
      <c r="K198" s="8">
        <v>2.4592743030300555E-3</v>
      </c>
    </row>
    <row r="199" spans="1:11" x14ac:dyDescent="0.4">
      <c r="A199" s="12" t="s">
        <v>493</v>
      </c>
      <c r="B199" s="10">
        <v>829</v>
      </c>
      <c r="C199" s="11" t="s">
        <v>263</v>
      </c>
      <c r="D199" s="12" t="str">
        <f t="shared" si="6"/>
        <v xml:space="preserve"> Servicios empresariales ncp</v>
      </c>
      <c r="E199" s="31">
        <f>SUMIF(INPUT!$A$2:$A$396,'Output - 3 dígitos'!B199,INPUT!$B$2:$B$396)</f>
        <v>639102783</v>
      </c>
      <c r="F199" s="31">
        <f>SUMIF(INPUT!$A$2:$A$396,'Output - 3 dígitos'!B199,INPUT!$C$2:$C$396)</f>
        <v>16558385</v>
      </c>
      <c r="G199" s="32">
        <f t="shared" si="7"/>
        <v>2.5908798147104922E-2</v>
      </c>
      <c r="J199" s="7" t="str">
        <v xml:space="preserve"> Extracción de minerales metalíferos no ferrosos</v>
      </c>
      <c r="K199" s="8">
        <v>2.3735349597290294E-3</v>
      </c>
    </row>
    <row r="200" spans="1:11" x14ac:dyDescent="0.4">
      <c r="A200" s="12" t="s">
        <v>523</v>
      </c>
      <c r="B200" s="10">
        <v>841</v>
      </c>
      <c r="C200" s="11" t="s">
        <v>267</v>
      </c>
      <c r="D200" s="12" t="str">
        <f t="shared" si="6"/>
        <v xml:space="preserve"> Servicios de la Administración Pública</v>
      </c>
      <c r="E200" s="31">
        <f>SUMIF(INPUT!$A$2:$A$396,'Output - 3 dígitos'!B200,INPUT!$B$2:$B$396)</f>
        <v>1849867445</v>
      </c>
      <c r="F200" s="31">
        <f>SUMIF(INPUT!$A$2:$A$396,'Output - 3 dígitos'!B200,INPUT!$C$2:$C$396)</f>
        <v>1270190</v>
      </c>
      <c r="G200" s="32">
        <f t="shared" si="7"/>
        <v>6.8663838775756179E-4</v>
      </c>
      <c r="J200" s="7" t="str">
        <v xml:space="preserve"> Fabricación  de equipos de comunicaciones y transmisores de radio y televisión</v>
      </c>
      <c r="K200" s="8">
        <v>2.3723001797940307E-3</v>
      </c>
    </row>
    <row r="201" spans="1:11" x14ac:dyDescent="0.4">
      <c r="A201" s="12" t="s">
        <v>523</v>
      </c>
      <c r="B201" s="10">
        <v>842</v>
      </c>
      <c r="C201" s="11" t="s">
        <v>269</v>
      </c>
      <c r="D201" s="12" t="str">
        <f t="shared" si="6"/>
        <v xml:space="preserve"> Prestación pública de servicios a la comunidad en general</v>
      </c>
      <c r="E201" s="31">
        <f>SUMIF(INPUT!$A$2:$A$396,'Output - 3 dígitos'!B201,INPUT!$B$2:$B$396)</f>
        <v>5442077</v>
      </c>
      <c r="F201" s="31">
        <f>SUMIF(INPUT!$A$2:$A$396,'Output - 3 dígitos'!B201,INPUT!$C$2:$C$396)</f>
        <v>420729</v>
      </c>
      <c r="G201" s="32">
        <f t="shared" si="7"/>
        <v>7.7310372491973187E-2</v>
      </c>
      <c r="J201" s="7" t="str">
        <v xml:space="preserve"> Servicios financieros excepto los de la banca central y las entidades financieras</v>
      </c>
      <c r="K201" s="8">
        <v>2.2304975396232056E-3</v>
      </c>
    </row>
    <row r="202" spans="1:11" x14ac:dyDescent="0.4">
      <c r="A202" s="12" t="s">
        <v>523</v>
      </c>
      <c r="B202" s="10">
        <v>843</v>
      </c>
      <c r="C202" s="11" t="s">
        <v>268</v>
      </c>
      <c r="D202" s="12" t="str">
        <f t="shared" si="6"/>
        <v xml:space="preserve"> Servicios de la seguridad social obligatoria, excepto obras sociales</v>
      </c>
      <c r="E202" s="31">
        <f>SUMIF(INPUT!$A$2:$A$396,'Output - 3 dígitos'!B202,INPUT!$B$2:$B$396)</f>
        <v>2734222</v>
      </c>
      <c r="F202" s="31">
        <f>SUMIF(INPUT!$A$2:$A$396,'Output - 3 dígitos'!B202,INPUT!$C$2:$C$396)</f>
        <v>355644</v>
      </c>
      <c r="G202" s="32">
        <f t="shared" si="7"/>
        <v>0.13007136947914252</v>
      </c>
      <c r="J202" s="7" t="str">
        <v xml:space="preserve"> Servicios industriales para la fabricación de sustancias y productos químicos</v>
      </c>
      <c r="K202" s="8">
        <v>1.9194577326542442E-3</v>
      </c>
    </row>
    <row r="203" spans="1:11" x14ac:dyDescent="0.4">
      <c r="A203" s="12" t="s">
        <v>527</v>
      </c>
      <c r="B203" s="10">
        <v>851</v>
      </c>
      <c r="C203" s="11" t="s">
        <v>272</v>
      </c>
      <c r="D203" s="12" t="str">
        <f t="shared" si="6"/>
        <v xml:space="preserve"> Enseñanza inicial y primaria</v>
      </c>
      <c r="E203" s="31">
        <f>SUMIF(INPUT!$A$2:$A$396,'Output - 3 dígitos'!B203,INPUT!$B$2:$B$396)</f>
        <v>37575122</v>
      </c>
      <c r="F203" s="31">
        <f>SUMIF(INPUT!$A$2:$A$396,'Output - 3 dígitos'!B203,INPUT!$C$2:$C$396)</f>
        <v>1085225</v>
      </c>
      <c r="G203" s="32">
        <f t="shared" si="7"/>
        <v>2.8881476419424533E-2</v>
      </c>
      <c r="J203" s="7" t="str">
        <v xml:space="preserve"> Investigación  y desarrollo experimental en el campo de las ciencias sociales y las humanidades</v>
      </c>
      <c r="K203" s="8">
        <v>1.8693395307146816E-3</v>
      </c>
    </row>
    <row r="204" spans="1:11" x14ac:dyDescent="0.4">
      <c r="A204" s="12" t="s">
        <v>527</v>
      </c>
      <c r="B204" s="10">
        <v>852</v>
      </c>
      <c r="C204" s="11" t="s">
        <v>271</v>
      </c>
      <c r="D204" s="12" t="str">
        <f t="shared" si="6"/>
        <v xml:space="preserve"> Enseñanza secundaria</v>
      </c>
      <c r="E204" s="31">
        <f>SUMIF(INPUT!$A$2:$A$396,'Output - 3 dígitos'!B204,INPUT!$B$2:$B$396)</f>
        <v>7101318</v>
      </c>
      <c r="F204" s="31">
        <f>SUMIF(INPUT!$A$2:$A$396,'Output - 3 dígitos'!B204,INPUT!$C$2:$C$396)</f>
        <v>373198</v>
      </c>
      <c r="G204" s="32">
        <f t="shared" si="7"/>
        <v>5.2553342914653307E-2</v>
      </c>
      <c r="J204" s="7" t="str">
        <v xml:space="preserve"> Explotación de minas y canteras ncp</v>
      </c>
      <c r="K204" s="8">
        <v>1.7952169325548674E-3</v>
      </c>
    </row>
    <row r="205" spans="1:11" x14ac:dyDescent="0.4">
      <c r="A205" s="12" t="s">
        <v>527</v>
      </c>
      <c r="B205" s="10">
        <v>853</v>
      </c>
      <c r="C205" s="11" t="s">
        <v>273</v>
      </c>
      <c r="D205" s="12" t="str">
        <f t="shared" si="6"/>
        <v xml:space="preserve"> Enseñanza superior y formación de posgrado</v>
      </c>
      <c r="E205" s="31">
        <f>SUMIF(INPUT!$A$2:$A$396,'Output - 3 dígitos'!B205,INPUT!$B$2:$B$396)</f>
        <v>67542720</v>
      </c>
      <c r="F205" s="31">
        <f>SUMIF(INPUT!$A$2:$A$396,'Output - 3 dígitos'!B205,INPUT!$C$2:$C$396)</f>
        <v>109370</v>
      </c>
      <c r="G205" s="32">
        <f t="shared" si="7"/>
        <v>1.619271477370174E-3</v>
      </c>
      <c r="J205" s="7" t="str">
        <v xml:space="preserve"> Fabricación de aparatos de uso doméstico ncp</v>
      </c>
      <c r="K205" s="8">
        <v>1.6565916112954548E-3</v>
      </c>
    </row>
    <row r="206" spans="1:11" x14ac:dyDescent="0.4">
      <c r="A206" s="12" t="s">
        <v>527</v>
      </c>
      <c r="B206" s="10">
        <v>854</v>
      </c>
      <c r="C206" s="11" t="s">
        <v>270</v>
      </c>
      <c r="D206" s="12" t="str">
        <f t="shared" si="6"/>
        <v xml:space="preserve"> Servicios de enseñanza ncp</v>
      </c>
      <c r="E206" s="31">
        <f>SUMIF(INPUT!$A$2:$A$396,'Output - 3 dígitos'!B206,INPUT!$B$2:$B$396)</f>
        <v>57327800</v>
      </c>
      <c r="F206" s="31">
        <f>SUMIF(INPUT!$A$2:$A$396,'Output - 3 dígitos'!B206,INPUT!$C$2:$C$396)</f>
        <v>3074621</v>
      </c>
      <c r="G206" s="32">
        <f t="shared" si="7"/>
        <v>5.3632286604404847E-2</v>
      </c>
      <c r="J206" s="7" t="str">
        <v xml:space="preserve"> Enseñanza superior y formación de posgrado</v>
      </c>
      <c r="K206" s="8">
        <v>1.619271477370174E-3</v>
      </c>
    </row>
    <row r="207" spans="1:11" x14ac:dyDescent="0.4">
      <c r="A207" s="12" t="s">
        <v>527</v>
      </c>
      <c r="B207" s="10">
        <v>855</v>
      </c>
      <c r="C207" s="11" t="s">
        <v>274</v>
      </c>
      <c r="D207" s="12" t="str">
        <f t="shared" si="6"/>
        <v xml:space="preserve"> Servicios de apoyo a la educación</v>
      </c>
      <c r="E207" s="31">
        <f>SUMIF(INPUT!$A$2:$A$396,'Output - 3 dígitos'!B207,INPUT!$B$2:$B$396)</f>
        <v>4706985</v>
      </c>
      <c r="F207" s="31">
        <f>SUMIF(INPUT!$A$2:$A$396,'Output - 3 dígitos'!B207,INPUT!$C$2:$C$396)</f>
        <v>259660</v>
      </c>
      <c r="G207" s="32">
        <f t="shared" si="7"/>
        <v>5.5164824192131479E-2</v>
      </c>
      <c r="J207" s="7" t="str">
        <v xml:space="preserve"> Procesamiento de datos,  hospedaje y actividades conexas</v>
      </c>
      <c r="K207" s="8">
        <v>1.5820598096040132E-3</v>
      </c>
    </row>
    <row r="208" spans="1:11" x14ac:dyDescent="0.4">
      <c r="A208" s="12" t="s">
        <v>533</v>
      </c>
      <c r="B208" s="10">
        <v>861</v>
      </c>
      <c r="C208" s="11" t="s">
        <v>277</v>
      </c>
      <c r="D208" s="12" t="str">
        <f t="shared" si="6"/>
        <v xml:space="preserve"> Servicios de hospitales</v>
      </c>
      <c r="E208" s="31">
        <f>SUMIF(INPUT!$A$2:$A$396,'Output - 3 dígitos'!B208,INPUT!$B$2:$B$396)</f>
        <v>219578957</v>
      </c>
      <c r="F208" s="31">
        <f>SUMIF(INPUT!$A$2:$A$396,'Output - 3 dígitos'!B208,INPUT!$C$2:$C$396)</f>
        <v>4528404</v>
      </c>
      <c r="G208" s="32">
        <f t="shared" si="7"/>
        <v>2.0623123735850516E-2</v>
      </c>
      <c r="J208" s="7" t="str">
        <v xml:space="preserve"> Fabricación  de  carrocerías  para  vehículos  automotores</v>
      </c>
      <c r="K208" s="8">
        <v>1.4839786552453078E-3</v>
      </c>
    </row>
    <row r="209" spans="1:11" x14ac:dyDescent="0.4">
      <c r="A209" s="12" t="s">
        <v>533</v>
      </c>
      <c r="B209" s="10">
        <v>862</v>
      </c>
      <c r="C209" s="11" t="s">
        <v>278</v>
      </c>
      <c r="D209" s="12" t="str">
        <f t="shared" si="6"/>
        <v xml:space="preserve"> Servicios de atención ambulatoria realizados por médicos y odontólogos</v>
      </c>
      <c r="E209" s="31">
        <f>SUMIF(INPUT!$A$2:$A$396,'Output - 3 dígitos'!B209,INPUT!$B$2:$B$396)</f>
        <v>48749773</v>
      </c>
      <c r="F209" s="31">
        <f>SUMIF(INPUT!$A$2:$A$396,'Output - 3 dígitos'!B209,INPUT!$C$2:$C$396)</f>
        <v>836020</v>
      </c>
      <c r="G209" s="32">
        <f t="shared" si="7"/>
        <v>1.71492080588765E-2</v>
      </c>
      <c r="J209" s="7" t="str">
        <v xml:space="preserve"> Preparación de frutas, hortalizas y legumbres</v>
      </c>
      <c r="K209" s="8">
        <v>1.4334266846870484E-3</v>
      </c>
    </row>
    <row r="210" spans="1:11" x14ac:dyDescent="0.4">
      <c r="A210" s="12" t="s">
        <v>533</v>
      </c>
      <c r="B210" s="10">
        <v>863</v>
      </c>
      <c r="C210" s="11" t="s">
        <v>276</v>
      </c>
      <c r="D210" s="12" t="str">
        <f t="shared" si="6"/>
        <v xml:space="preserve"> Servicios de prácticas de diagnóstico y tratamiento</v>
      </c>
      <c r="E210" s="31">
        <f>SUMIF(INPUT!$A$2:$A$396,'Output - 3 dígitos'!B210,INPUT!$B$2:$B$396)</f>
        <v>82285847</v>
      </c>
      <c r="F210" s="31">
        <f>SUMIF(INPUT!$A$2:$A$396,'Output - 3 dígitos'!B210,INPUT!$C$2:$C$396)</f>
        <v>2435935</v>
      </c>
      <c r="G210" s="32">
        <f t="shared" si="7"/>
        <v>2.9603328990464181E-2</v>
      </c>
      <c r="J210" s="7" t="str">
        <v xml:space="preserve"> Fabricación de productos primarios de metales preciosos y metales no ferrosos</v>
      </c>
      <c r="K210" s="8">
        <v>1.1667189156139297E-3</v>
      </c>
    </row>
    <row r="211" spans="1:11" x14ac:dyDescent="0.4">
      <c r="A211" s="12" t="s">
        <v>533</v>
      </c>
      <c r="B211" s="10">
        <v>864</v>
      </c>
      <c r="C211" s="11" t="s">
        <v>275</v>
      </c>
      <c r="D211" s="12" t="str">
        <f t="shared" si="6"/>
        <v xml:space="preserve"> Servicios de emergencias y traslados</v>
      </c>
      <c r="E211" s="31">
        <f>SUMIF(INPUT!$A$2:$A$396,'Output - 3 dígitos'!B211,INPUT!$B$2:$B$396)</f>
        <v>27930983</v>
      </c>
      <c r="F211" s="31">
        <f>SUMIF(INPUT!$A$2:$A$396,'Output - 3 dígitos'!B211,INPUT!$C$2:$C$396)</f>
        <v>632372</v>
      </c>
      <c r="G211" s="32">
        <f t="shared" si="7"/>
        <v>2.2640520743577124E-2</v>
      </c>
      <c r="J211" s="7" t="str">
        <v>Servicio de transporte ferroviario</v>
      </c>
      <c r="K211" s="8">
        <v>1.1035945977677689E-3</v>
      </c>
    </row>
    <row r="212" spans="1:11" x14ac:dyDescent="0.4">
      <c r="A212" s="12" t="s">
        <v>533</v>
      </c>
      <c r="B212" s="10">
        <v>869</v>
      </c>
      <c r="C212" s="11" t="s">
        <v>279</v>
      </c>
      <c r="D212" s="12" t="str">
        <f t="shared" si="6"/>
        <v xml:space="preserve"> Servicios relacionados con la salud humana ncp</v>
      </c>
      <c r="E212" s="31">
        <f>SUMIF(INPUT!$A$2:$A$396,'Output - 3 dígitos'!B212,INPUT!$B$2:$B$396)</f>
        <v>448127333</v>
      </c>
      <c r="F212" s="31">
        <f>SUMIF(INPUT!$A$2:$A$396,'Output - 3 dígitos'!B212,INPUT!$C$2:$C$396)</f>
        <v>11850448</v>
      </c>
      <c r="G212" s="32">
        <f t="shared" si="7"/>
        <v>2.6444376692371943E-2</v>
      </c>
      <c r="J212" s="7" t="str">
        <v xml:space="preserve"> Suministro de vapor y aire acondicionado</v>
      </c>
      <c r="K212" s="8">
        <v>7.413290417222707E-4</v>
      </c>
    </row>
    <row r="213" spans="1:11" x14ac:dyDescent="0.4">
      <c r="A213" s="12" t="s">
        <v>533</v>
      </c>
      <c r="B213" s="10">
        <v>870</v>
      </c>
      <c r="C213" s="11" t="s">
        <v>280</v>
      </c>
      <c r="D213" s="12" t="str">
        <f t="shared" si="6"/>
        <v xml:space="preserve"> Servicios sociales con alojamiento</v>
      </c>
      <c r="E213" s="31">
        <f>SUMIF(INPUT!$A$2:$A$396,'Output - 3 dígitos'!B213,INPUT!$B$2:$B$396)</f>
        <v>13246723</v>
      </c>
      <c r="F213" s="31">
        <f>SUMIF(INPUT!$A$2:$A$396,'Output - 3 dígitos'!B213,INPUT!$C$2:$C$396)</f>
        <v>504362</v>
      </c>
      <c r="G213" s="32">
        <f t="shared" si="7"/>
        <v>3.8074473211223633E-2</v>
      </c>
      <c r="J213" s="7" t="str">
        <v xml:space="preserve"> Servicios de la Administración Pública</v>
      </c>
      <c r="K213" s="8">
        <v>6.8663838775756179E-4</v>
      </c>
    </row>
    <row r="214" spans="1:11" x14ac:dyDescent="0.4">
      <c r="A214" s="12" t="s">
        <v>533</v>
      </c>
      <c r="B214" s="10">
        <v>880</v>
      </c>
      <c r="C214" s="11" t="s">
        <v>281</v>
      </c>
      <c r="D214" s="12" t="str">
        <f t="shared" si="6"/>
        <v xml:space="preserve"> Servicios sociales sin alojamiento</v>
      </c>
      <c r="E214" s="31">
        <f>SUMIF(INPUT!$A$2:$A$396,'Output - 3 dígitos'!B214,INPUT!$B$2:$B$396)</f>
        <v>3043454</v>
      </c>
      <c r="F214" s="31">
        <f>SUMIF(INPUT!$A$2:$A$396,'Output - 3 dígitos'!B214,INPUT!$C$2:$C$396)</f>
        <v>242029</v>
      </c>
      <c r="G214" s="32">
        <f t="shared" si="7"/>
        <v>7.9524448209172871E-2</v>
      </c>
      <c r="J214" s="7" t="str">
        <v xml:space="preserve"> Generación, transporte y distribución de energía eléctrica</v>
      </c>
      <c r="K214" s="8">
        <v>6.4903221365870739E-4</v>
      </c>
    </row>
    <row r="215" spans="1:11" x14ac:dyDescent="0.4">
      <c r="A215" s="12" t="s">
        <v>533</v>
      </c>
      <c r="B215" s="10">
        <v>900</v>
      </c>
      <c r="C215" s="11" t="s">
        <v>282</v>
      </c>
      <c r="D215" s="12" t="str">
        <f t="shared" si="6"/>
        <v xml:space="preserve"> Servicios artísticos y de espectáculos</v>
      </c>
      <c r="E215" s="31">
        <f>SUMIF(INPUT!$A$2:$A$396,'Output - 3 dígitos'!B215,INPUT!$B$2:$B$396)</f>
        <v>39261835</v>
      </c>
      <c r="F215" s="31">
        <f>SUMIF(INPUT!$A$2:$A$396,'Output - 3 dígitos'!B215,INPUT!$C$2:$C$396)</f>
        <v>1653617</v>
      </c>
      <c r="G215" s="32">
        <f t="shared" si="7"/>
        <v>4.2117669742129986E-2</v>
      </c>
      <c r="J215" s="7" t="str">
        <v>Servicio de transporte aéreo de pasajeros</v>
      </c>
      <c r="K215" s="8">
        <v>6.3143795178880044E-4</v>
      </c>
    </row>
    <row r="216" spans="1:11" x14ac:dyDescent="0.4">
      <c r="A216" s="12" t="s">
        <v>533</v>
      </c>
      <c r="B216" s="10">
        <v>910</v>
      </c>
      <c r="C216" s="11" t="s">
        <v>283</v>
      </c>
      <c r="D216" s="12" t="str">
        <f t="shared" si="6"/>
        <v xml:space="preserve"> Servicios de bibliotecas, archivos y museos y  servicios culturales ncp</v>
      </c>
      <c r="E216" s="31">
        <f>SUMIF(INPUT!$A$2:$A$396,'Output - 3 dígitos'!B216,INPUT!$B$2:$B$396)</f>
        <v>33125104</v>
      </c>
      <c r="F216" s="31">
        <f>SUMIF(INPUT!$A$2:$A$396,'Output - 3 dígitos'!B216,INPUT!$C$2:$C$396)</f>
        <v>997930</v>
      </c>
      <c r="G216" s="32">
        <f t="shared" si="7"/>
        <v>3.0126094094678164E-2</v>
      </c>
      <c r="J216" s="7" t="str">
        <v xml:space="preserve"> Fabricación de vehículos automotores</v>
      </c>
      <c r="K216" s="8">
        <v>3.2281538419374594E-4</v>
      </c>
    </row>
    <row r="217" spans="1:11" x14ac:dyDescent="0.4">
      <c r="A217" s="12" t="s">
        <v>533</v>
      </c>
      <c r="B217" s="10">
        <v>920</v>
      </c>
      <c r="C217" s="11" t="s">
        <v>284</v>
      </c>
      <c r="D217" s="12" t="str">
        <f t="shared" si="6"/>
        <v xml:space="preserve"> Servicios  relacionados con juegos de azar y apuestas</v>
      </c>
      <c r="E217" s="31">
        <f>SUMIF(INPUT!$A$2:$A$396,'Output - 3 dígitos'!B217,INPUT!$B$2:$B$396)</f>
        <v>9042362</v>
      </c>
      <c r="F217" s="31">
        <f>SUMIF(INPUT!$A$2:$A$396,'Output - 3 dígitos'!B217,INPUT!$C$2:$C$396)</f>
        <v>394815</v>
      </c>
      <c r="G217" s="32">
        <f t="shared" si="7"/>
        <v>4.3662817303708919E-2</v>
      </c>
      <c r="J217" s="7" t="str">
        <v xml:space="preserve"> Estudio de mercado, realización de encuestas de opinión pública</v>
      </c>
      <c r="K217" s="8">
        <v>2.5614338265404492E-4</v>
      </c>
    </row>
    <row r="218" spans="1:11" x14ac:dyDescent="0.4">
      <c r="A218" s="12" t="s">
        <v>533</v>
      </c>
      <c r="B218" s="10">
        <v>931</v>
      </c>
      <c r="C218" s="11" t="s">
        <v>285</v>
      </c>
      <c r="D218" s="12" t="str">
        <f t="shared" si="6"/>
        <v xml:space="preserve"> Servicios para la práctica deportiva </v>
      </c>
      <c r="E218" s="31">
        <f>SUMIF(INPUT!$A$2:$A$396,'Output - 3 dígitos'!B218,INPUT!$B$2:$B$396)</f>
        <v>90303958</v>
      </c>
      <c r="F218" s="31">
        <f>SUMIF(INPUT!$A$2:$A$396,'Output - 3 dígitos'!B218,INPUT!$C$2:$C$396)</f>
        <v>1984933</v>
      </c>
      <c r="G218" s="32">
        <f t="shared" si="7"/>
        <v>2.1980575868003484E-2</v>
      </c>
      <c r="J218" s="7" t="str">
        <v xml:space="preserve"> Servicios de telefonía móvil</v>
      </c>
      <c r="K218" s="8">
        <v>2.0344228453964989E-4</v>
      </c>
    </row>
    <row r="219" spans="1:11" x14ac:dyDescent="0.4">
      <c r="A219" s="12" t="s">
        <v>533</v>
      </c>
      <c r="B219" s="10">
        <v>939</v>
      </c>
      <c r="C219" s="11" t="s">
        <v>286</v>
      </c>
      <c r="D219" s="12" t="str">
        <f t="shared" si="6"/>
        <v xml:space="preserve"> Servicios de esparcimiento ncp</v>
      </c>
      <c r="E219" s="31">
        <f>SUMIF(INPUT!$A$2:$A$396,'Output - 3 dígitos'!B219,INPUT!$B$2:$B$396)</f>
        <v>29590137</v>
      </c>
      <c r="F219" s="31">
        <f>SUMIF(INPUT!$A$2:$A$396,'Output - 3 dígitos'!B219,INPUT!$C$2:$C$396)</f>
        <v>746587</v>
      </c>
      <c r="G219" s="32">
        <f t="shared" si="7"/>
        <v>2.5230940971986714E-2</v>
      </c>
      <c r="J219" s="7" t="str">
        <v xml:space="preserve"> Fabricación de hilos y cables aislados</v>
      </c>
      <c r="K219" s="8">
        <v>1.4580531251005567E-4</v>
      </c>
    </row>
    <row r="220" spans="1:11" x14ac:dyDescent="0.4">
      <c r="A220" s="12" t="s">
        <v>533</v>
      </c>
      <c r="B220" s="10">
        <v>941</v>
      </c>
      <c r="C220" s="11" t="s">
        <v>289</v>
      </c>
      <c r="D220" s="12" t="str">
        <f t="shared" si="6"/>
        <v xml:space="preserve"> Servicios de organizaciones empresariales, profesionales y de empleadores</v>
      </c>
      <c r="E220" s="31">
        <f>SUMIF(INPUT!$A$2:$A$396,'Output - 3 dígitos'!B220,INPUT!$B$2:$B$396)</f>
        <v>14535092</v>
      </c>
      <c r="F220" s="31">
        <f>SUMIF(INPUT!$A$2:$A$396,'Output - 3 dígitos'!B220,INPUT!$C$2:$C$396)</f>
        <v>403797</v>
      </c>
      <c r="G220" s="32">
        <f t="shared" si="7"/>
        <v>2.778083551173945E-2</v>
      </c>
      <c r="J220" s="7" t="str">
        <v>Servicio de transporte por tuberías</v>
      </c>
      <c r="K220" s="8">
        <v>8.7911887543113459E-5</v>
      </c>
    </row>
    <row r="221" spans="1:11" x14ac:dyDescent="0.4">
      <c r="A221" s="12" t="s">
        <v>533</v>
      </c>
      <c r="B221" s="10">
        <v>942</v>
      </c>
      <c r="C221" s="11" t="s">
        <v>288</v>
      </c>
      <c r="D221" s="12" t="str">
        <f t="shared" si="6"/>
        <v xml:space="preserve"> Servicios de sindicatos</v>
      </c>
      <c r="E221" s="31">
        <f>SUMIF(INPUT!$A$2:$A$396,'Output - 3 dígitos'!B221,INPUT!$B$2:$B$396)</f>
        <v>17390881</v>
      </c>
      <c r="F221" s="31">
        <f>SUMIF(INPUT!$A$2:$A$396,'Output - 3 dígitos'!B221,INPUT!$C$2:$C$396)</f>
        <v>82071</v>
      </c>
      <c r="G221" s="32">
        <f t="shared" si="7"/>
        <v>4.7191973770621511E-3</v>
      </c>
      <c r="J221" s="7" t="str">
        <v xml:space="preserve"> Servicios de telefonía fija</v>
      </c>
      <c r="K221" s="8">
        <v>4.3134354115203554E-5</v>
      </c>
    </row>
    <row r="222" spans="1:11" x14ac:dyDescent="0.4">
      <c r="A222" s="12" t="s">
        <v>533</v>
      </c>
      <c r="B222" s="10">
        <v>949</v>
      </c>
      <c r="C222" s="11" t="s">
        <v>287</v>
      </c>
      <c r="D222" s="12" t="str">
        <f t="shared" si="6"/>
        <v xml:space="preserve"> Servicios de asociaciones ncp</v>
      </c>
      <c r="E222" s="31">
        <f>SUMIF(INPUT!$A$2:$A$396,'Output - 3 dígitos'!B222,INPUT!$B$2:$B$396)</f>
        <v>162080412</v>
      </c>
      <c r="F222" s="31">
        <f>SUMIF(INPUT!$A$2:$A$396,'Output - 3 dígitos'!B222,INPUT!$C$2:$C$396)</f>
        <v>6050776</v>
      </c>
      <c r="G222" s="32">
        <f t="shared" si="7"/>
        <v>3.7331938667579397E-2</v>
      </c>
      <c r="J222" s="7" t="str">
        <v xml:space="preserve"> Fabricación y reparación de aeronaves </v>
      </c>
      <c r="K222" s="8">
        <v>3.9860865671521562E-5</v>
      </c>
    </row>
    <row r="223" spans="1:11" x14ac:dyDescent="0.4">
      <c r="A223" s="12" t="s">
        <v>533</v>
      </c>
      <c r="B223" s="10">
        <v>951</v>
      </c>
      <c r="C223" s="11" t="s">
        <v>290</v>
      </c>
      <c r="D223" s="12" t="str">
        <f t="shared" si="6"/>
        <v xml:space="preserve"> Reparación y mantenimiento de equipos informáticos y equipos de comunicación</v>
      </c>
      <c r="E223" s="31">
        <f>SUMIF(INPUT!$A$2:$A$396,'Output - 3 dígitos'!B223,INPUT!$B$2:$B$396)</f>
        <v>7368521</v>
      </c>
      <c r="F223" s="31">
        <f>SUMIF(INPUT!$A$2:$A$396,'Output - 3 dígitos'!B223,INPUT!$C$2:$C$396)</f>
        <v>389658</v>
      </c>
      <c r="G223" s="32">
        <f t="shared" si="7"/>
        <v>5.288143984389812E-2</v>
      </c>
      <c r="J223" s="7" t="str">
        <v xml:space="preserve"> Servicios de sociedades de cartera</v>
      </c>
      <c r="K223" s="8">
        <v>3.5369084457645318E-5</v>
      </c>
    </row>
    <row r="224" spans="1:11" x14ac:dyDescent="0.4">
      <c r="A224" s="12" t="s">
        <v>533</v>
      </c>
      <c r="B224" s="10">
        <v>952</v>
      </c>
      <c r="C224" s="11" t="s">
        <v>291</v>
      </c>
      <c r="D224" s="12" t="str">
        <f t="shared" si="6"/>
        <v xml:space="preserve"> Reparación de efectos personales y enseres domésticos</v>
      </c>
      <c r="E224" s="31">
        <f>SUMIF(INPUT!$A$2:$A$396,'Output - 3 dígitos'!B224,INPUT!$B$2:$B$396)</f>
        <v>5469493</v>
      </c>
      <c r="F224" s="31">
        <f>SUMIF(INPUT!$A$2:$A$396,'Output - 3 dígitos'!B224,INPUT!$C$2:$C$396)</f>
        <v>547965</v>
      </c>
      <c r="G224" s="32">
        <f t="shared" si="7"/>
        <v>0.1001857027698911</v>
      </c>
      <c r="J224" s="7" t="str">
        <v xml:space="preserve"> Fabricación de receptores de radio y televisión, aparatos de grabación y reproducción de sonido y video, y productos conexos</v>
      </c>
      <c r="K224" s="8">
        <v>1.3107149868333489E-5</v>
      </c>
    </row>
    <row r="225" spans="1:11" x14ac:dyDescent="0.4">
      <c r="A225" s="12" t="s">
        <v>533</v>
      </c>
      <c r="B225" s="10">
        <v>960</v>
      </c>
      <c r="C225" s="11" t="s">
        <v>292</v>
      </c>
      <c r="D225" s="12" t="str">
        <f t="shared" si="6"/>
        <v xml:space="preserve"> Servicios personales ncp</v>
      </c>
      <c r="E225" s="31">
        <f>SUMIF(INPUT!$A$2:$A$396,'Output - 3 dígitos'!B225,INPUT!$B$2:$B$396)</f>
        <v>1223113521</v>
      </c>
      <c r="F225" s="31">
        <f>SUMIF(INPUT!$A$2:$A$396,'Output - 3 dígitos'!B225,INPUT!$C$2:$C$396)</f>
        <v>92534123</v>
      </c>
      <c r="G225" s="32">
        <f t="shared" si="7"/>
        <v>7.5654566327044967E-2</v>
      </c>
      <c r="J225" s="7" t="str">
        <v xml:space="preserve"> Intermediación monetaria </v>
      </c>
      <c r="K225" s="8">
        <v>3.2023237746547949E-6</v>
      </c>
    </row>
    <row r="226" spans="1:11" x14ac:dyDescent="0.4">
      <c r="A226" s="12" t="s">
        <v>533</v>
      </c>
      <c r="B226" s="10">
        <v>999</v>
      </c>
      <c r="C226" s="11" t="s">
        <v>293</v>
      </c>
      <c r="D226" s="12" t="str">
        <f t="shared" si="6"/>
        <v>Otros sectores</v>
      </c>
      <c r="E226" s="31">
        <f>SUMIF(INPUT!$A$2:$A$396,'Output - 3 dígitos'!B226,INPUT!$B$2:$B$396)</f>
        <v>498297839</v>
      </c>
      <c r="F226" s="31">
        <f>SUMIF(INPUT!$A$2:$A$396,'Output - 3 dígitos'!B226,INPUT!$C$2:$C$396)</f>
        <v>55440768</v>
      </c>
      <c r="G226" s="32">
        <f t="shared" si="7"/>
        <v>0.11126030189346256</v>
      </c>
      <c r="J226" s="7" t="str">
        <v xml:space="preserve"> Terminación y teñido de pieles</v>
      </c>
      <c r="K226" s="8">
        <v>0</v>
      </c>
    </row>
    <row r="227" spans="1:11" x14ac:dyDescent="0.4">
      <c r="A227" s="12" t="s">
        <v>774</v>
      </c>
      <c r="B227" s="10" t="s">
        <v>71</v>
      </c>
      <c r="C227" s="11" t="s">
        <v>71</v>
      </c>
      <c r="D227" s="12" t="str">
        <f t="shared" si="6"/>
        <v>nan</v>
      </c>
      <c r="E227" s="31">
        <f>SUMIF(INPUT!$A$2:$A$396,'Output - 3 dígitos'!B227,INPUT!$B$2:$B$396)</f>
        <v>13948320352</v>
      </c>
      <c r="F227" s="31">
        <f>SUMIF(INPUT!$A$2:$A$396,'Output - 3 dígitos'!B227,INPUT!$C$2:$C$396)</f>
        <v>3410208077</v>
      </c>
      <c r="G227" s="32">
        <f t="shared" si="7"/>
        <v>0.24448879800147566</v>
      </c>
      <c r="J227" s="7" t="str">
        <v xml:space="preserve"> Fabricación de armas y municiones</v>
      </c>
      <c r="K227" s="8">
        <v>0</v>
      </c>
    </row>
    <row r="228" spans="1:11" x14ac:dyDescent="0.4">
      <c r="E228" s="13"/>
      <c r="F228" s="13"/>
      <c r="G228" s="8"/>
      <c r="K228" s="8">
        <v>0</v>
      </c>
    </row>
    <row r="233" spans="1:11" x14ac:dyDescent="0.4">
      <c r="F233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F979-43F8-4A6A-AB11-2D6CF6161B11}">
  <dimension ref="A1:D31"/>
  <sheetViews>
    <sheetView topLeftCell="A12" workbookViewId="0">
      <selection activeCell="F26" sqref="F26"/>
    </sheetView>
  </sheetViews>
  <sheetFormatPr baseColWidth="10" defaultRowHeight="14" x14ac:dyDescent="0.35"/>
  <cols>
    <col min="1" max="1" width="37.81640625" style="34" customWidth="1"/>
    <col min="2" max="4" width="15.08984375" style="33" customWidth="1"/>
    <col min="5" max="16384" width="10.90625" style="33"/>
  </cols>
  <sheetData>
    <row r="1" spans="1:4" ht="32.5" customHeight="1" x14ac:dyDescent="0.35">
      <c r="B1" s="35" t="s">
        <v>775</v>
      </c>
      <c r="C1" s="35" t="s">
        <v>776</v>
      </c>
      <c r="D1" s="35" t="s">
        <v>297</v>
      </c>
    </row>
    <row r="2" spans="1:4" x14ac:dyDescent="0.35">
      <c r="A2" s="38" t="s">
        <v>303</v>
      </c>
      <c r="B2" s="39">
        <f>SUMIF('Output - 3 dígitos'!$A$2:$A$227,'Output - 1 díg'!$A2,'Output - 3 dígitos'!E$2:E$227)</f>
        <v>11566704652</v>
      </c>
      <c r="C2" s="39">
        <f>SUMIF('Output - 3 dígitos'!$A$2:$A$227,'Output - 1 díg'!$A2,'Output - 3 dígitos'!F$2:F$227)</f>
        <v>335160353</v>
      </c>
      <c r="D2" s="40">
        <f>C2/B2</f>
        <v>2.8976304235627508E-2</v>
      </c>
    </row>
    <row r="3" spans="1:4" x14ac:dyDescent="0.35">
      <c r="A3" s="38" t="s">
        <v>313</v>
      </c>
      <c r="B3" s="39">
        <f>SUMIF('Output - 3 dígitos'!$A$2:$A$227,'Output - 1 díg'!$A3,'Output - 3 dígitos'!E$2:E$227)</f>
        <v>101940465</v>
      </c>
      <c r="C3" s="39">
        <f>SUMIF('Output - 3 dígitos'!$A$2:$A$227,'Output - 1 díg'!$A3,'Output - 3 dígitos'!F$2:F$227)</f>
        <v>4498077</v>
      </c>
      <c r="D3" s="40">
        <f t="shared" ref="D3:D29" si="0">C3/B3</f>
        <v>4.4124548578427618E-2</v>
      </c>
    </row>
    <row r="4" spans="1:4" x14ac:dyDescent="0.35">
      <c r="A4" s="38" t="s">
        <v>316</v>
      </c>
      <c r="B4" s="39">
        <f>SUMIF('Output - 3 dígitos'!$A$2:$A$227,'Output - 1 díg'!$A4,'Output - 3 dígitos'!E$2:E$227)</f>
        <v>5486700877</v>
      </c>
      <c r="C4" s="39">
        <f>SUMIF('Output - 3 dígitos'!$A$2:$A$227,'Output - 1 díg'!$A4,'Output - 3 dígitos'!F$2:F$227)</f>
        <v>20481756</v>
      </c>
      <c r="D4" s="40">
        <f t="shared" si="0"/>
        <v>3.7329820704931423E-3</v>
      </c>
    </row>
    <row r="5" spans="1:4" x14ac:dyDescent="0.35">
      <c r="A5" s="38" t="s">
        <v>885</v>
      </c>
      <c r="B5" s="39">
        <f>SUM(B6:B18)</f>
        <v>24200989321</v>
      </c>
      <c r="C5" s="39">
        <f>SUM(C6:C18)</f>
        <v>710759417</v>
      </c>
      <c r="D5" s="40">
        <f>C5/B5</f>
        <v>2.9369023206966605E-2</v>
      </c>
    </row>
    <row r="6" spans="1:4" x14ac:dyDescent="0.35">
      <c r="A6" s="34" t="s">
        <v>327</v>
      </c>
      <c r="B6" s="36">
        <f>SUMIF('Output - 3 dígitos'!$A$2:$A$227,'Output - 1 díg'!$A6,'Output - 3 dígitos'!E$2:E$227)</f>
        <v>7951192937</v>
      </c>
      <c r="C6" s="36">
        <f>SUMIF('Output - 3 dígitos'!$A$2:$A$227,'Output - 1 díg'!$A6,'Output - 3 dígitos'!F$2:F$227)</f>
        <v>299059314</v>
      </c>
      <c r="D6" s="37">
        <f t="shared" si="0"/>
        <v>3.7611879924125652E-2</v>
      </c>
    </row>
    <row r="7" spans="1:4" x14ac:dyDescent="0.35">
      <c r="A7" s="34" t="s">
        <v>338</v>
      </c>
      <c r="B7" s="36">
        <f>SUMIF('Output - 3 dígitos'!$A$2:$A$227,'Output - 1 díg'!$A7,'Output - 3 dígitos'!E$2:E$227)</f>
        <v>158569706</v>
      </c>
      <c r="C7" s="36">
        <f>SUMIF('Output - 3 dígitos'!$A$2:$A$227,'Output - 1 díg'!$A7,'Output - 3 dígitos'!F$2:F$227)</f>
        <v>697902</v>
      </c>
      <c r="D7" s="37">
        <f t="shared" si="0"/>
        <v>4.4012315946401516E-3</v>
      </c>
    </row>
    <row r="8" spans="1:4" x14ac:dyDescent="0.35">
      <c r="A8" s="34" t="s">
        <v>340</v>
      </c>
      <c r="B8" s="36">
        <f>SUMIF('Output - 3 dígitos'!$A$2:$A$227,'Output - 1 díg'!$A8,'Output - 3 dígitos'!E$2:E$227)</f>
        <v>937308047</v>
      </c>
      <c r="C8" s="36">
        <f>SUMIF('Output - 3 dígitos'!$A$2:$A$227,'Output - 1 díg'!$A8,'Output - 3 dígitos'!F$2:F$227)</f>
        <v>93192770</v>
      </c>
      <c r="D8" s="37">
        <f t="shared" si="0"/>
        <v>9.9425978789233635E-2</v>
      </c>
    </row>
    <row r="9" spans="1:4" x14ac:dyDescent="0.35">
      <c r="A9" s="34" t="s">
        <v>349</v>
      </c>
      <c r="B9" s="36">
        <f>SUMIF('Output - 3 dígitos'!$A$2:$A$227,'Output - 1 díg'!$A9,'Output - 3 dígitos'!E$2:E$227)</f>
        <v>595111760</v>
      </c>
      <c r="C9" s="36">
        <f>SUMIF('Output - 3 dígitos'!$A$2:$A$227,'Output - 1 díg'!$A9,'Output - 3 dígitos'!F$2:F$227)</f>
        <v>52542821</v>
      </c>
      <c r="D9" s="37">
        <f t="shared" si="0"/>
        <v>8.8290678376108711E-2</v>
      </c>
    </row>
    <row r="10" spans="1:4" x14ac:dyDescent="0.35">
      <c r="A10" s="34" t="s">
        <v>353</v>
      </c>
      <c r="B10" s="36">
        <f>SUMIF('Output - 3 dígitos'!$A$2:$A$227,'Output - 1 díg'!$A10,'Output - 3 dígitos'!E$2:E$227)</f>
        <v>111731403</v>
      </c>
      <c r="C10" s="36">
        <f>SUMIF('Output - 3 dígitos'!$A$2:$A$227,'Output - 1 díg'!$A10,'Output - 3 dígitos'!F$2:F$227)</f>
        <v>10430927</v>
      </c>
      <c r="D10" s="37">
        <f t="shared" si="0"/>
        <v>9.3357164771304263E-2</v>
      </c>
    </row>
    <row r="11" spans="1:4" x14ac:dyDescent="0.35">
      <c r="A11" s="34" t="s">
        <v>356</v>
      </c>
      <c r="B11" s="36">
        <f>SUMIF('Output - 3 dígitos'!$A$2:$A$227,'Output - 1 díg'!$A11,'Output - 3 dígitos'!E$2:E$227)</f>
        <v>2669200214</v>
      </c>
      <c r="C11" s="36">
        <f>SUMIF('Output - 3 dígitos'!$A$2:$A$227,'Output - 1 díg'!$A11,'Output - 3 dígitos'!F$2:F$227)</f>
        <v>37363468</v>
      </c>
      <c r="D11" s="37">
        <f t="shared" si="0"/>
        <v>1.3998001275448721E-2</v>
      </c>
    </row>
    <row r="12" spans="1:4" x14ac:dyDescent="0.35">
      <c r="A12" s="34" t="s">
        <v>359</v>
      </c>
      <c r="B12" s="36">
        <f>SUMIF('Output - 3 dígitos'!$A$2:$A$227,'Output - 1 díg'!$A12,'Output - 3 dígitos'!E$2:E$227)</f>
        <v>3124541699</v>
      </c>
      <c r="C12" s="36">
        <f>SUMIF('Output - 3 dígitos'!$A$2:$A$227,'Output - 1 díg'!$A12,'Output - 3 dígitos'!F$2:F$227)</f>
        <v>116671681</v>
      </c>
      <c r="D12" s="37">
        <f t="shared" si="0"/>
        <v>3.7340414127723251E-2</v>
      </c>
    </row>
    <row r="13" spans="1:4" x14ac:dyDescent="0.35">
      <c r="A13" s="34" t="s">
        <v>365</v>
      </c>
      <c r="B13" s="36">
        <f>SUMIF('Output - 3 dígitos'!$A$2:$A$227,'Output - 1 díg'!$A13,'Output - 3 dígitos'!E$2:E$227)</f>
        <v>494725637</v>
      </c>
      <c r="C13" s="36">
        <f>SUMIF('Output - 3 dígitos'!$A$2:$A$227,'Output - 1 díg'!$A13,'Output - 3 dígitos'!F$2:F$227)</f>
        <v>10154272</v>
      </c>
      <c r="D13" s="37">
        <f t="shared" si="0"/>
        <v>2.0525057204585497E-2</v>
      </c>
    </row>
    <row r="14" spans="1:4" x14ac:dyDescent="0.35">
      <c r="A14" s="34" t="s">
        <v>368</v>
      </c>
      <c r="B14" s="36">
        <f>SUMIF('Output - 3 dígitos'!$A$2:$A$227,'Output - 1 díg'!$A14,'Output - 3 dígitos'!E$2:E$227)</f>
        <v>647012561</v>
      </c>
      <c r="C14" s="36">
        <f>SUMIF('Output - 3 dígitos'!$A$2:$A$227,'Output - 1 díg'!$A14,'Output - 3 dígitos'!F$2:F$227)</f>
        <v>26818295</v>
      </c>
      <c r="D14" s="37">
        <f t="shared" si="0"/>
        <v>4.144941940315746E-2</v>
      </c>
    </row>
    <row r="15" spans="1:4" x14ac:dyDescent="0.35">
      <c r="A15" s="34" t="s">
        <v>371</v>
      </c>
      <c r="B15" s="36">
        <f>SUMIF('Output - 3 dígitos'!$A$2:$A$227,'Output - 1 díg'!$A15,'Output - 3 dígitos'!E$2:E$227)</f>
        <v>840633405</v>
      </c>
      <c r="C15" s="36">
        <f>SUMIF('Output - 3 dígitos'!$A$2:$A$227,'Output - 1 díg'!$A15,'Output - 3 dígitos'!F$2:F$227)</f>
        <v>3793467</v>
      </c>
      <c r="D15" s="37">
        <f t="shared" si="0"/>
        <v>4.5126293785577075E-3</v>
      </c>
    </row>
    <row r="16" spans="1:4" x14ac:dyDescent="0.35">
      <c r="A16" s="34" t="s">
        <v>375</v>
      </c>
      <c r="B16" s="36">
        <f>SUMIF('Output - 3 dígitos'!$A$2:$A$227,'Output - 1 díg'!$A16,'Output - 3 dígitos'!E$2:E$227)</f>
        <v>3263432489</v>
      </c>
      <c r="C16" s="36">
        <f>SUMIF('Output - 3 dígitos'!$A$2:$A$227,'Output - 1 díg'!$A16,'Output - 3 dígitos'!F$2:F$227)</f>
        <v>35487085</v>
      </c>
      <c r="D16" s="37">
        <f t="shared" si="0"/>
        <v>1.087415937655084E-2</v>
      </c>
    </row>
    <row r="17" spans="1:4" x14ac:dyDescent="0.35">
      <c r="A17" s="34" t="s">
        <v>395</v>
      </c>
      <c r="B17" s="36">
        <f>SUMIF('Output - 3 dígitos'!$A$2:$A$227,'Output - 1 díg'!$A17,'Output - 3 dígitos'!E$2:E$227)</f>
        <v>2832160933</v>
      </c>
      <c r="C17" s="36">
        <f>SUMIF('Output - 3 dígitos'!$A$2:$A$227,'Output - 1 díg'!$A17,'Output - 3 dígitos'!F$2:F$227)</f>
        <v>4948522</v>
      </c>
      <c r="D17" s="37">
        <f t="shared" si="0"/>
        <v>1.7472601723794768E-3</v>
      </c>
    </row>
    <row r="18" spans="1:4" x14ac:dyDescent="0.35">
      <c r="A18" s="34" t="s">
        <v>403</v>
      </c>
      <c r="B18" s="36">
        <f>SUMIF('Output - 3 dígitos'!$A$2:$A$227,'Output - 1 díg'!$A18,'Output - 3 dígitos'!E$2:E$227)</f>
        <v>575368530</v>
      </c>
      <c r="C18" s="36">
        <f>SUMIF('Output - 3 dígitos'!$A$2:$A$227,'Output - 1 díg'!$A18,'Output - 3 dígitos'!F$2:F$227)</f>
        <v>19598893</v>
      </c>
      <c r="D18" s="37">
        <f t="shared" si="0"/>
        <v>3.4063199459310016E-2</v>
      </c>
    </row>
    <row r="19" spans="1:4" x14ac:dyDescent="0.35">
      <c r="A19" s="38" t="s">
        <v>412</v>
      </c>
      <c r="B19" s="39">
        <f>SUMIF('Output - 3 dígitos'!$A$2:$A$227,'Output - 1 díg'!$A19,'Output - 3 dígitos'!E$2:E$227)</f>
        <v>3130642910</v>
      </c>
      <c r="C19" s="39">
        <f>SUMIF('Output - 3 dígitos'!$A$2:$A$227,'Output - 1 díg'!$A19,'Output - 3 dígitos'!F$2:F$227)</f>
        <v>10990863</v>
      </c>
      <c r="D19" s="40">
        <f t="shared" si="0"/>
        <v>3.5107367131820217E-3</v>
      </c>
    </row>
    <row r="20" spans="1:4" x14ac:dyDescent="0.35">
      <c r="A20" s="38" t="s">
        <v>421</v>
      </c>
      <c r="B20" s="39">
        <f>SUMIF('Output - 3 dígitos'!$A$2:$A$227,'Output - 1 díg'!$A20,'Output - 3 dígitos'!E$2:E$227)</f>
        <v>1881552034</v>
      </c>
      <c r="C20" s="39">
        <f>SUMIF('Output - 3 dígitos'!$A$2:$A$227,'Output - 1 díg'!$A20,'Output - 3 dígitos'!F$2:F$227)</f>
        <v>95148493</v>
      </c>
      <c r="D20" s="40">
        <f t="shared" si="0"/>
        <v>5.056915316751745E-2</v>
      </c>
    </row>
    <row r="21" spans="1:4" x14ac:dyDescent="0.35">
      <c r="A21" s="38" t="s">
        <v>430</v>
      </c>
      <c r="B21" s="39">
        <f>SUMIF('Output - 3 dígitos'!$A$2:$A$227,'Output - 1 díg'!$A21,'Output - 3 dígitos'!E$2:E$227)</f>
        <v>14363832229</v>
      </c>
      <c r="C21" s="39">
        <f>SUMIF('Output - 3 dígitos'!$A$2:$A$227,'Output - 1 díg'!$A21,'Output - 3 dígitos'!F$2:F$227)</f>
        <v>517182928</v>
      </c>
      <c r="D21" s="40">
        <f t="shared" si="0"/>
        <v>3.6005915396020043E-2</v>
      </c>
    </row>
    <row r="22" spans="1:4" x14ac:dyDescent="0.35">
      <c r="A22" s="38" t="s">
        <v>451</v>
      </c>
      <c r="B22" s="39">
        <f>SUMIF('Output - 3 dígitos'!$A$2:$A$227,'Output - 1 díg'!$A22,'Output - 3 dígitos'!E$2:E$227)</f>
        <v>5825964284</v>
      </c>
      <c r="C22" s="39">
        <f>SUMIF('Output - 3 dígitos'!$A$2:$A$227,'Output - 1 díg'!$A22,'Output - 3 dígitos'!F$2:F$227)</f>
        <v>127651620</v>
      </c>
      <c r="D22" s="40">
        <f t="shared" si="0"/>
        <v>2.1910814034780995E-2</v>
      </c>
    </row>
    <row r="23" spans="1:4" x14ac:dyDescent="0.35">
      <c r="A23" s="38" t="s">
        <v>464</v>
      </c>
      <c r="B23" s="39">
        <f>SUMIF('Output - 3 dígitos'!$A$2:$A$227,'Output - 1 díg'!$A23,'Output - 3 dígitos'!E$2:E$227)</f>
        <v>453301095</v>
      </c>
      <c r="C23" s="39">
        <f>SUMIF('Output - 3 dígitos'!$A$2:$A$227,'Output - 1 díg'!$A23,'Output - 3 dígitos'!F$2:F$227)</f>
        <v>22851233</v>
      </c>
      <c r="D23" s="40">
        <f t="shared" si="0"/>
        <v>5.041071652385927E-2</v>
      </c>
    </row>
    <row r="24" spans="1:4" x14ac:dyDescent="0.35">
      <c r="A24" s="38" t="s">
        <v>482</v>
      </c>
      <c r="B24" s="39">
        <f>SUMIF('Output - 3 dígitos'!$A$2:$A$227,'Output - 1 díg'!$A24,'Output - 3 dígitos'!E$2:E$227)</f>
        <v>7872323008</v>
      </c>
      <c r="C24" s="39">
        <f>SUMIF('Output - 3 dígitos'!$A$2:$A$227,'Output - 1 díg'!$A24,'Output - 3 dígitos'!F$2:F$227)</f>
        <v>10946366</v>
      </c>
      <c r="D24" s="40">
        <f t="shared" si="0"/>
        <v>1.3904874061793579E-3</v>
      </c>
    </row>
    <row r="25" spans="1:4" x14ac:dyDescent="0.35">
      <c r="A25" s="38" t="s">
        <v>493</v>
      </c>
      <c r="B25" s="39">
        <f>SUMIF('Output - 3 dígitos'!$A$2:$A$227,'Output - 1 díg'!$A25,'Output - 3 dígitos'!E$2:E$227)</f>
        <v>2021054887</v>
      </c>
      <c r="C25" s="39">
        <f>SUMIF('Output - 3 dígitos'!$A$2:$A$227,'Output - 1 díg'!$A25,'Output - 3 dígitos'!F$2:F$227)</f>
        <v>81676368</v>
      </c>
      <c r="D25" s="40">
        <f t="shared" si="0"/>
        <v>4.0412741150854255E-2</v>
      </c>
    </row>
    <row r="26" spans="1:4" x14ac:dyDescent="0.35">
      <c r="A26" s="38" t="s">
        <v>523</v>
      </c>
      <c r="B26" s="39">
        <f>SUMIF('Output - 3 dígitos'!$A$2:$A$227,'Output - 1 díg'!$A26,'Output - 3 dígitos'!E$2:E$227)</f>
        <v>1858043744</v>
      </c>
      <c r="C26" s="39">
        <f>SUMIF('Output - 3 dígitos'!$A$2:$A$227,'Output - 1 díg'!$A26,'Output - 3 dígitos'!F$2:F$227)</f>
        <v>2046563</v>
      </c>
      <c r="D26" s="40">
        <f t="shared" si="0"/>
        <v>1.1014611505292956E-3</v>
      </c>
    </row>
    <row r="27" spans="1:4" x14ac:dyDescent="0.35">
      <c r="A27" s="38" t="s">
        <v>527</v>
      </c>
      <c r="B27" s="39">
        <f>SUMIF('Output - 3 dígitos'!$A$2:$A$227,'Output - 1 díg'!$A27,'Output - 3 dígitos'!E$2:E$227)</f>
        <v>174253945</v>
      </c>
      <c r="C27" s="39">
        <f>SUMIF('Output - 3 dígitos'!$A$2:$A$227,'Output - 1 díg'!$A27,'Output - 3 dígitos'!F$2:F$227)</f>
        <v>4902074</v>
      </c>
      <c r="D27" s="40">
        <f t="shared" si="0"/>
        <v>2.8131782037990587E-2</v>
      </c>
    </row>
    <row r="28" spans="1:4" x14ac:dyDescent="0.35">
      <c r="A28" s="38" t="s">
        <v>533</v>
      </c>
      <c r="B28" s="39">
        <f>SUMIF('Output - 3 dígitos'!$A$2:$A$227,'Output - 1 díg'!$A28,'Output - 3 dígitos'!E$2:E$227)</f>
        <v>2972542225</v>
      </c>
      <c r="C28" s="39">
        <f>SUMIF('Output - 3 dígitos'!$A$2:$A$227,'Output - 1 díg'!$A28,'Output - 3 dígitos'!F$2:F$227)</f>
        <v>182256610</v>
      </c>
      <c r="D28" s="40">
        <f t="shared" si="0"/>
        <v>6.1313379661074453E-2</v>
      </c>
    </row>
    <row r="29" spans="1:4" ht="14.5" thickBot="1" x14ac:dyDescent="0.4">
      <c r="A29" s="50" t="s">
        <v>774</v>
      </c>
      <c r="B29" s="51">
        <f>SUMIF('Output - 3 dígitos'!$A$2:$A$227,'Output - 1 díg'!$A29,'Output - 3 dígitos'!E$2:E$227)</f>
        <v>77064607944</v>
      </c>
      <c r="C29" s="51">
        <f>SUMIF('Output - 3 dígitos'!$A$2:$A$227,'Output - 1 díg'!$A29,'Output - 3 dígitos'!F$2:F$227)</f>
        <v>10369912008</v>
      </c>
      <c r="D29" s="52">
        <f t="shared" si="0"/>
        <v>0.1345612763713199</v>
      </c>
    </row>
    <row r="30" spans="1:4" x14ac:dyDescent="0.35">
      <c r="A30" s="41" t="s">
        <v>777</v>
      </c>
      <c r="B30" s="42">
        <f>SUM(B2:B29)</f>
        <v>183175442941</v>
      </c>
      <c r="C30" s="42">
        <f>SUM(C2:C29)</f>
        <v>13207224146</v>
      </c>
      <c r="D30" s="43">
        <f>C30/B30</f>
        <v>7.2101499709510672E-2</v>
      </c>
    </row>
    <row r="31" spans="1:4" x14ac:dyDescent="0.35">
      <c r="A31" s="44"/>
      <c r="B31" s="45">
        <f>SUM('Output - 3 dígitos'!E2:E227)</f>
        <v>158974453620</v>
      </c>
      <c r="C31" s="45">
        <f>SUM('Output - 3 dígitos'!F2:F227)</f>
        <v>12496464729</v>
      </c>
      <c r="D31" s="46">
        <f>C31/B31</f>
        <v>7.8606747464410626E-2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6919-EFF4-44EE-9C48-4B9F00DE65B0}">
  <dimension ref="A1:K228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1" sqref="F11:F12"/>
    </sheetView>
  </sheetViews>
  <sheetFormatPr baseColWidth="10" defaultColWidth="11.453125" defaultRowHeight="14" x14ac:dyDescent="0.4"/>
  <cols>
    <col min="1" max="1" width="11.54296875" style="16" bestFit="1" customWidth="1"/>
    <col min="2" max="3" width="11.453125" style="16"/>
    <col min="4" max="4" width="18.7265625" style="16" bestFit="1" customWidth="1"/>
    <col min="5" max="5" width="16.54296875" style="16" bestFit="1" customWidth="1"/>
    <col min="6" max="6" width="17.453125" style="16" bestFit="1" customWidth="1"/>
    <col min="7" max="7" width="11.453125" style="16"/>
    <col min="8" max="8" width="11.54296875" style="16" customWidth="1"/>
    <col min="9" max="9" width="61.81640625" style="16" customWidth="1"/>
    <col min="10" max="10" width="11.54296875" style="17" bestFit="1" customWidth="1"/>
    <col min="11" max="11" width="16.1796875" style="18" bestFit="1" customWidth="1"/>
    <col min="12" max="16384" width="11.453125" style="16"/>
  </cols>
  <sheetData>
    <row r="1" spans="1:11" x14ac:dyDescent="0.4">
      <c r="D1" s="16" t="str">
        <f>'Output - 3 dígitos'!E1</f>
        <v>saldo_total (miles de $)</v>
      </c>
      <c r="E1" s="16" t="str">
        <f>'Output - 3 dígitos'!F1</f>
        <v>saldo_irregular (miles de $)</v>
      </c>
      <c r="F1" s="16" t="str">
        <f>'Output - 3 dígitos'!G1</f>
        <v>tasa_mora</v>
      </c>
      <c r="I1" s="19" t="s">
        <v>299</v>
      </c>
      <c r="J1" s="20" t="s">
        <v>297</v>
      </c>
      <c r="K1" s="21" t="s">
        <v>298</v>
      </c>
    </row>
    <row r="2" spans="1:11" x14ac:dyDescent="0.4">
      <c r="A2" s="16">
        <f>'Output - 3 dígitos'!B24</f>
        <v>101</v>
      </c>
      <c r="B2" s="16" t="str">
        <f>'Output - 3 dígitos'!C24</f>
        <v xml:space="preserve"> ProducciÃ³n y procesamiento de carne y productos cÃ¡rnicos, excepto pescado</v>
      </c>
      <c r="C2" s="16" t="s">
        <v>0</v>
      </c>
      <c r="D2" s="16">
        <f>'Output - 3 dígitos'!E24</f>
        <v>2898265826</v>
      </c>
      <c r="E2" s="16">
        <f>'Output - 3 dígitos'!F24</f>
        <v>64587255</v>
      </c>
      <c r="F2" s="16">
        <f>'Output - 3 dígitos'!G24</f>
        <v>2.2284793348006718E-2</v>
      </c>
      <c r="H2" s="16">
        <v>1</v>
      </c>
      <c r="I2" s="16" t="str" cm="1">
        <f t="array" ref="I2:I227">_xlfn.SORTBY($C$2:$C$227,$F$2:$F$227,-1)</f>
        <v xml:space="preserve"> Fabricación y reparación de locomotoras y de material rodante para transporte ferroviario</v>
      </c>
      <c r="J2" s="17" cm="1">
        <f t="array" ref="J2:J228">_xlfn._xlws.SORT(F2:F228,,-1)</f>
        <v>0.52717338668720193</v>
      </c>
      <c r="K2" s="18" cm="1">
        <f t="array" ref="K2:K227">_xlfn.SORTBY($E$2:$E$227,$F$2:$F$227,-1)/1000/1450</f>
        <v>0.30782344827586205</v>
      </c>
    </row>
    <row r="3" spans="1:11" x14ac:dyDescent="0.4">
      <c r="A3" s="16">
        <f>'Output - 3 dígitos'!B25</f>
        <v>102</v>
      </c>
      <c r="B3" s="16" t="str">
        <f>'Output - 3 dígitos'!C25</f>
        <v xml:space="preserve"> ElaboraciÃ³n de pescado y productos de pescado</v>
      </c>
      <c r="C3" s="16" t="s">
        <v>2</v>
      </c>
      <c r="D3" s="16">
        <f>'Output - 3 dígitos'!E25</f>
        <v>113009710</v>
      </c>
      <c r="E3" s="16">
        <f>'Output - 3 dígitos'!F25</f>
        <v>13012538</v>
      </c>
      <c r="F3" s="16">
        <f>'Output - 3 dígitos'!G25</f>
        <v>0.11514530919511252</v>
      </c>
      <c r="H3" s="16">
        <v>2</v>
      </c>
      <c r="I3" s="16" t="str">
        <v xml:space="preserve"> Curtido y terminación de cueros</v>
      </c>
      <c r="J3" s="17">
        <v>0.36562046815024407</v>
      </c>
      <c r="K3" s="18">
        <v>26.823340689655172</v>
      </c>
    </row>
    <row r="4" spans="1:11" x14ac:dyDescent="0.4">
      <c r="A4" s="16">
        <f>'Output - 3 dígitos'!B26</f>
        <v>103</v>
      </c>
      <c r="B4" s="16" t="str">
        <f>'Output - 3 dígitos'!C26</f>
        <v xml:space="preserve"> PreparaciÃ³n de frutas, hortalizas y legumbres</v>
      </c>
      <c r="C4" s="16" t="s">
        <v>4</v>
      </c>
      <c r="D4" s="16">
        <f>'Output - 3 dígitos'!E26</f>
        <v>531783040</v>
      </c>
      <c r="E4" s="16">
        <f>'Output - 3 dígitos'!F26</f>
        <v>762272</v>
      </c>
      <c r="F4" s="16">
        <f>'Output - 3 dígitos'!G26</f>
        <v>1.4334266846870484E-3</v>
      </c>
      <c r="H4" s="16">
        <v>3</v>
      </c>
      <c r="I4" s="16" t="str">
        <v xml:space="preserve"> Elaboración de productos de molinería, almidones y productos derivados del almidón </v>
      </c>
      <c r="J4" s="17">
        <v>0.26368787415315614</v>
      </c>
      <c r="K4" s="18">
        <v>79.959304137931028</v>
      </c>
    </row>
    <row r="5" spans="1:11" x14ac:dyDescent="0.4">
      <c r="A5" s="16">
        <f>'Output - 3 dígitos'!B27</f>
        <v>104</v>
      </c>
      <c r="B5" s="16" t="str">
        <f>'Output - 3 dígitos'!C27</f>
        <v xml:space="preserve"> ElaboraciÃ³n de aceites y grasas de origen vegetal</v>
      </c>
      <c r="C5" s="16" t="s">
        <v>6</v>
      </c>
      <c r="D5" s="16">
        <f>'Output - 3 dígitos'!E27</f>
        <v>737628041</v>
      </c>
      <c r="E5" s="16">
        <f>'Output - 3 dígitos'!F27</f>
        <v>15529989</v>
      </c>
      <c r="F5" s="16">
        <f>'Output - 3 dígitos'!G27</f>
        <v>2.1053956922442975E-2</v>
      </c>
      <c r="H5" s="16">
        <v>4</v>
      </c>
      <c r="I5" s="16" t="str">
        <v xml:space="preserve"> Servicios industriales para la industria confeccionista</v>
      </c>
      <c r="J5" s="17">
        <v>0.2005690614790146</v>
      </c>
      <c r="K5" s="18">
        <v>0.38561103448275857</v>
      </c>
    </row>
    <row r="6" spans="1:11" x14ac:dyDescent="0.4">
      <c r="A6" s="16">
        <f>'Output - 3 dígitos'!B28</f>
        <v>105</v>
      </c>
      <c r="B6" s="16" t="str">
        <f>'Output - 3 dígitos'!C28</f>
        <v xml:space="preserve"> ElaboraciÃ³n de productos lÃ¡cteos</v>
      </c>
      <c r="C6" s="16" t="s">
        <v>8</v>
      </c>
      <c r="D6" s="16">
        <f>'Output - 3 dígitos'!E28</f>
        <v>558833881</v>
      </c>
      <c r="E6" s="16">
        <f>'Output - 3 dígitos'!F28</f>
        <v>8141839</v>
      </c>
      <c r="F6" s="16">
        <f>'Output - 3 dígitos'!G28</f>
        <v>1.4569336750718592E-2</v>
      </c>
      <c r="H6" s="16">
        <v>5</v>
      </c>
      <c r="I6" s="16" t="str">
        <v xml:space="preserve"> Fabricación de fibras manufacturadas</v>
      </c>
      <c r="J6" s="17">
        <v>0.17370315968746897</v>
      </c>
      <c r="K6" s="18">
        <v>0.86630413793103456</v>
      </c>
    </row>
    <row r="7" spans="1:11" x14ac:dyDescent="0.4">
      <c r="A7" s="16">
        <f>'Output - 3 dígitos'!B29</f>
        <v>106</v>
      </c>
      <c r="B7" s="16" t="str">
        <f>'Output - 3 dígitos'!C29</f>
        <v xml:space="preserve"> ElaboraciÃ³n de productos de molinerÃ­a, almidones y productos derivados del almidÃ³n </v>
      </c>
      <c r="C7" s="16" t="s">
        <v>10</v>
      </c>
      <c r="D7" s="16">
        <f>'Output - 3 dígitos'!E29</f>
        <v>439690264</v>
      </c>
      <c r="E7" s="16">
        <f>'Output - 3 dígitos'!F29</f>
        <v>115940991</v>
      </c>
      <c r="F7" s="16">
        <f>'Output - 3 dígitos'!G29</f>
        <v>0.26368787415315614</v>
      </c>
      <c r="H7" s="16">
        <v>6</v>
      </c>
      <c r="I7" s="16" t="str">
        <v xml:space="preserve"> Fabricación de motores, generadores y transformadores eléctricos y aparatos de distribución  y control de la energía eléctrica</v>
      </c>
      <c r="J7" s="17">
        <v>0.13377607009621922</v>
      </c>
      <c r="K7" s="18">
        <v>6.0147606896551729</v>
      </c>
    </row>
    <row r="8" spans="1:11" x14ac:dyDescent="0.4">
      <c r="A8" s="16">
        <f>'Output - 3 dígitos'!B30</f>
        <v>107</v>
      </c>
      <c r="B8" s="16" t="str">
        <f>'Output - 3 dígitos'!C30</f>
        <v xml:space="preserve"> ElaboraciÃ³n de productos alimenticios ncp</v>
      </c>
      <c r="C8" s="16" t="s">
        <v>12</v>
      </c>
      <c r="D8" s="16">
        <f>'Output - 3 dígitos'!E30</f>
        <v>1679981503</v>
      </c>
      <c r="E8" s="16">
        <f>'Output - 3 dígitos'!F30</f>
        <v>17926750</v>
      </c>
      <c r="F8" s="16">
        <f>'Output - 3 dígitos'!G30</f>
        <v>1.0670802010609994E-2</v>
      </c>
      <c r="H8" s="16">
        <v>7</v>
      </c>
      <c r="I8" s="16" t="str">
        <v xml:space="preserve"> Fabricación de papel y de productos de papel</v>
      </c>
      <c r="J8" s="17">
        <v>0.11826732211809479</v>
      </c>
      <c r="K8" s="18">
        <v>29.797613793103448</v>
      </c>
    </row>
    <row r="9" spans="1:11" x14ac:dyDescent="0.4">
      <c r="A9" s="16">
        <f>'Output - 3 dígitos'!B31</f>
        <v>108</v>
      </c>
      <c r="B9" s="16" t="str">
        <f>'Output - 3 dígitos'!C31</f>
        <v xml:space="preserve"> ElaboraciÃ³n de alimentos preparados para animales</v>
      </c>
      <c r="C9" s="16" t="s">
        <v>14</v>
      </c>
      <c r="D9" s="16">
        <f>'Output - 3 dígitos'!E31</f>
        <v>164970776</v>
      </c>
      <c r="E9" s="16">
        <f>'Output - 3 dígitos'!F31</f>
        <v>12485335</v>
      </c>
      <c r="F9" s="16">
        <f>'Output - 3 dígitos'!G31</f>
        <v>7.5682101416556347E-2</v>
      </c>
      <c r="H9" s="16">
        <v>8</v>
      </c>
      <c r="I9" s="16" t="str">
        <v xml:space="preserve"> Elaboración de pescado y productos de pescado</v>
      </c>
      <c r="J9" s="17">
        <v>0.11514530919511252</v>
      </c>
      <c r="K9" s="18">
        <v>8.9741641379310355</v>
      </c>
    </row>
    <row r="10" spans="1:11" x14ac:dyDescent="0.4">
      <c r="A10" s="16">
        <f>'Output - 3 dígitos'!B32</f>
        <v>109</v>
      </c>
      <c r="B10" s="16" t="str">
        <f>'Output - 3 dígitos'!C32</f>
        <v xml:space="preserve"> Servicios industriales para la elaboraciÃ³n de alimentos y bebidas</v>
      </c>
      <c r="C10" s="16" t="s">
        <v>15</v>
      </c>
      <c r="D10" s="16">
        <f>'Output - 3 dígitos'!E32</f>
        <v>3491345</v>
      </c>
      <c r="E10" s="16">
        <f>'Output - 3 dígitos'!F32</f>
        <v>104630</v>
      </c>
      <c r="F10" s="16">
        <f>'Output - 3 dígitos'!G32</f>
        <v>2.9968393269642502E-2</v>
      </c>
      <c r="H10" s="16">
        <v>9</v>
      </c>
      <c r="I10" s="16" t="str">
        <v xml:space="preserve"> Impresión y servicios relacionados con la impresión</v>
      </c>
      <c r="J10" s="17">
        <v>9.4885402994380516E-2</v>
      </c>
      <c r="K10" s="18">
        <v>7.1866193103448275</v>
      </c>
    </row>
    <row r="11" spans="1:11" x14ac:dyDescent="0.4">
      <c r="A11" s="16">
        <f>'Output - 3 dígitos'!B33</f>
        <v>110</v>
      </c>
      <c r="B11" s="16" t="str">
        <f>'Output - 3 dígitos'!C33</f>
        <v xml:space="preserve"> ElaboraciÃ³n de bebidas</v>
      </c>
      <c r="C11" s="16" t="s">
        <v>17</v>
      </c>
      <c r="D11" s="16">
        <f>'Output - 3 dígitos'!E33</f>
        <v>823538551</v>
      </c>
      <c r="E11" s="16">
        <f>'Output - 3 dígitos'!F33</f>
        <v>50567715</v>
      </c>
      <c r="F11" s="16">
        <f>'Output - 3 dígitos'!G33</f>
        <v>6.140297250031225E-2</v>
      </c>
      <c r="H11" s="16">
        <v>10</v>
      </c>
      <c r="I11" s="16" t="str">
        <v>Fabricación de acumuladores,  pilas y baterías primarias</v>
      </c>
      <c r="J11" s="17">
        <v>8.8294595861879557E-2</v>
      </c>
      <c r="K11" s="18">
        <v>2.0478317241379314</v>
      </c>
    </row>
    <row r="12" spans="1:11" x14ac:dyDescent="0.4">
      <c r="A12" s="16">
        <f>'Output - 3 dígitos'!B34</f>
        <v>120</v>
      </c>
      <c r="B12" s="16" t="str">
        <f>'Output - 3 dígitos'!C34</f>
        <v xml:space="preserve"> ElaboraciÃ³n de productos de tabaco</v>
      </c>
      <c r="C12" s="16" t="s">
        <v>19</v>
      </c>
      <c r="D12" s="16">
        <f>'Output - 3 dígitos'!E34</f>
        <v>158569706</v>
      </c>
      <c r="E12" s="16">
        <f>'Output - 3 dígitos'!F34</f>
        <v>697902</v>
      </c>
      <c r="F12" s="16">
        <f>'Output - 3 dígitos'!G34</f>
        <v>4.4012315946401516E-3</v>
      </c>
      <c r="H12" s="16">
        <v>11</v>
      </c>
      <c r="I12" s="16" t="str">
        <v xml:space="preserve"> Fabricación de productos de hornos de coque</v>
      </c>
      <c r="J12" s="17">
        <v>8.7021045293435642E-2</v>
      </c>
      <c r="K12" s="18">
        <v>1.6902668965517242</v>
      </c>
    </row>
    <row r="13" spans="1:11" x14ac:dyDescent="0.4">
      <c r="A13" s="16">
        <f>'Output - 3 dígitos'!B35</f>
        <v>131</v>
      </c>
      <c r="B13" s="16" t="str">
        <f>'Output - 3 dígitos'!C35</f>
        <v xml:space="preserve"> FabricaciÃ³n  de hilados y  tejidos, acabado de productos textiles</v>
      </c>
      <c r="C13" s="16" t="s">
        <v>21</v>
      </c>
      <c r="D13" s="16">
        <f>'Output - 3 dígitos'!E35</f>
        <v>270588005</v>
      </c>
      <c r="E13" s="16">
        <f>'Output - 3 dígitos'!F35</f>
        <v>15277393</v>
      </c>
      <c r="F13" s="16">
        <f>'Output - 3 dígitos'!G35</f>
        <v>5.6459978704525356E-2</v>
      </c>
      <c r="H13" s="16">
        <v>12</v>
      </c>
      <c r="I13" s="16" t="str">
        <v xml:space="preserve"> Fabricación de muebles y colchones</v>
      </c>
      <c r="J13" s="17">
        <v>8.4100286197083443E-2</v>
      </c>
      <c r="K13" s="18">
        <v>8.537890344827586</v>
      </c>
    </row>
    <row r="14" spans="1:11" x14ac:dyDescent="0.4">
      <c r="A14" s="16">
        <f>'Output - 3 dígitos'!B36</f>
        <v>139</v>
      </c>
      <c r="B14" s="16" t="str">
        <f>'Output - 3 dígitos'!C36</f>
        <v xml:space="preserve"> FabricaciÃ³n de productos textiles ncp</v>
      </c>
      <c r="C14" s="16" t="s">
        <v>23</v>
      </c>
      <c r="D14" s="16">
        <f>'Output - 3 dígitos'!E36</f>
        <v>216850528</v>
      </c>
      <c r="E14" s="16">
        <f>'Output - 3 dígitos'!F36</f>
        <v>14345041</v>
      </c>
      <c r="F14" s="16">
        <f>'Output - 3 dígitos'!G36</f>
        <v>6.6151745777626142E-2</v>
      </c>
      <c r="H14" s="16">
        <v>13</v>
      </c>
      <c r="I14" s="16" t="str">
        <v xml:space="preserve"> Fabricación de joyas, bijouterie y artículos conexos</v>
      </c>
      <c r="J14" s="17">
        <v>8.0181859646700188E-2</v>
      </c>
      <c r="K14" s="18">
        <v>2.6429655172413795E-2</v>
      </c>
    </row>
    <row r="15" spans="1:11" x14ac:dyDescent="0.4">
      <c r="A15" s="16">
        <f>'Output - 3 dígitos'!B37</f>
        <v>141</v>
      </c>
      <c r="B15" s="16" t="str">
        <f>'Output - 3 dígitos'!C37</f>
        <v xml:space="preserve"> ConfecciÃ³n de prendas de vestir, excepto prendas de piel</v>
      </c>
      <c r="C15" s="16" t="s">
        <v>25</v>
      </c>
      <c r="D15" s="16">
        <f>'Output - 3 dígitos'!E37</f>
        <v>235381387</v>
      </c>
      <c r="E15" s="16">
        <f>'Output - 3 dígitos'!F37</f>
        <v>16820072</v>
      </c>
      <c r="F15" s="16">
        <f>'Output - 3 dígitos'!G37</f>
        <v>7.1458802305383651E-2</v>
      </c>
      <c r="H15" s="16">
        <v>14</v>
      </c>
      <c r="I15" s="16" t="str">
        <v xml:space="preserve"> Elaboración de alimentos preparados para animales</v>
      </c>
      <c r="J15" s="17">
        <v>7.5682101416556347E-2</v>
      </c>
      <c r="K15" s="18">
        <v>8.6105758620689645</v>
      </c>
    </row>
    <row r="16" spans="1:11" x14ac:dyDescent="0.4">
      <c r="A16" s="16">
        <f>'Output - 3 dígitos'!B38</f>
        <v>142</v>
      </c>
      <c r="B16" s="16" t="str">
        <f>'Output - 3 dígitos'!C38</f>
        <v xml:space="preserve"> TerminaciÃ³n y teÃ±ido de pieles</v>
      </c>
      <c r="C16" s="16" t="s">
        <v>1</v>
      </c>
      <c r="D16" s="16">
        <f>'Output - 3 dígitos'!E38</f>
        <v>129038</v>
      </c>
      <c r="E16" s="16">
        <f>'Output - 3 dígitos'!F38</f>
        <v>0</v>
      </c>
      <c r="F16" s="16">
        <f>'Output - 3 dígitos'!G38</f>
        <v>0</v>
      </c>
      <c r="H16" s="16">
        <v>15</v>
      </c>
      <c r="I16" s="16" t="str">
        <v xml:space="preserve"> Confección de prendas de vestir, excepto prendas de piel</v>
      </c>
      <c r="J16" s="17">
        <v>7.1458802305383651E-2</v>
      </c>
      <c r="K16" s="18">
        <v>11.600049655172414</v>
      </c>
    </row>
    <row r="17" spans="1:11" x14ac:dyDescent="0.4">
      <c r="A17" s="16">
        <f>'Output - 3 dígitos'!B39</f>
        <v>143</v>
      </c>
      <c r="B17" s="16" t="str">
        <f>'Output - 3 dígitos'!C39</f>
        <v>FabricaciÃ³n de prendas de vestir de punto</v>
      </c>
      <c r="C17" s="16" t="s">
        <v>28</v>
      </c>
      <c r="D17" s="16">
        <f>'Output - 3 dígitos'!E39</f>
        <v>16015308</v>
      </c>
      <c r="E17" s="16">
        <f>'Output - 3 dígitos'!F39</f>
        <v>935614</v>
      </c>
      <c r="F17" s="16">
        <f>'Output - 3 dígitos'!G39</f>
        <v>5.8419981682525247E-2</v>
      </c>
      <c r="H17" s="16">
        <v>16</v>
      </c>
      <c r="I17" s="16" t="str">
        <v xml:space="preserve"> Fabricación de calzado y de sus partes</v>
      </c>
      <c r="J17" s="17">
        <v>7.1336453498840394E-2</v>
      </c>
      <c r="K17" s="18">
        <v>4.3873586206896551</v>
      </c>
    </row>
    <row r="18" spans="1:11" x14ac:dyDescent="0.4">
      <c r="A18" s="16">
        <f>'Output - 3 dígitos'!B40</f>
        <v>149</v>
      </c>
      <c r="B18" s="16" t="str">
        <f>'Output - 3 dígitos'!C40</f>
        <v xml:space="preserve"> Servicios industriales para la industria confeccionista</v>
      </c>
      <c r="C18" s="16" t="s">
        <v>30</v>
      </c>
      <c r="D18" s="16">
        <f>'Output - 3 dígitos'!E40</f>
        <v>2787748</v>
      </c>
      <c r="E18" s="16">
        <f>'Output - 3 dígitos'!F40</f>
        <v>559136</v>
      </c>
      <c r="F18" s="16">
        <f>'Output - 3 dígitos'!G40</f>
        <v>0.2005690614790146</v>
      </c>
      <c r="H18" s="16">
        <v>17</v>
      </c>
      <c r="I18" s="16" t="str">
        <v xml:space="preserve"> Fabricación de soportes ópticos y magnéticos</v>
      </c>
      <c r="J18" s="17">
        <v>6.7867049707826033E-2</v>
      </c>
      <c r="K18" s="18">
        <v>0.59162482758620694</v>
      </c>
    </row>
    <row r="19" spans="1:11" x14ac:dyDescent="0.4">
      <c r="A19" s="16">
        <f>'Output - 3 dígitos'!B41</f>
        <v>151</v>
      </c>
      <c r="B19" s="16" t="str">
        <f>'Output - 3 dígitos'!C41</f>
        <v xml:space="preserve"> Curtido y terminaciÃ³n de cueros</v>
      </c>
      <c r="C19" s="16" t="s">
        <v>31</v>
      </c>
      <c r="D19" s="16">
        <f>'Output - 3 dígitos'!E41</f>
        <v>106377644</v>
      </c>
      <c r="E19" s="16">
        <f>'Output - 3 dígitos'!F41</f>
        <v>38893844</v>
      </c>
      <c r="F19" s="16">
        <f>'Output - 3 dígitos'!G41</f>
        <v>0.36562046815024407</v>
      </c>
      <c r="H19" s="16">
        <v>18</v>
      </c>
      <c r="I19" s="16" t="str">
        <v xml:space="preserve"> Fabricación de productos textiles ncp</v>
      </c>
      <c r="J19" s="17">
        <v>6.6151745777626142E-2</v>
      </c>
      <c r="K19" s="18">
        <v>9.8931317241379304</v>
      </c>
    </row>
    <row r="20" spans="1:11" x14ac:dyDescent="0.4">
      <c r="A20" s="16">
        <f>'Output - 3 dígitos'!B42</f>
        <v>152</v>
      </c>
      <c r="B20" s="16" t="str">
        <f>'Output - 3 dígitos'!C42</f>
        <v xml:space="preserve"> FabricaciÃ³n de calzado y de sus partes</v>
      </c>
      <c r="C20" s="16" t="s">
        <v>33</v>
      </c>
      <c r="D20" s="16">
        <f>'Output - 3 dígitos'!E42</f>
        <v>89178389</v>
      </c>
      <c r="E20" s="16">
        <f>'Output - 3 dígitos'!F42</f>
        <v>6361670</v>
      </c>
      <c r="F20" s="16">
        <f>'Output - 3 dígitos'!G42</f>
        <v>7.1336453498840394E-2</v>
      </c>
      <c r="H20" s="16">
        <v>19</v>
      </c>
      <c r="I20" s="16" t="str">
        <v xml:space="preserve"> Elaboración de bebidas</v>
      </c>
      <c r="J20" s="17">
        <v>6.140297250031225E-2</v>
      </c>
      <c r="K20" s="18">
        <v>34.874286206896549</v>
      </c>
    </row>
    <row r="21" spans="1:11" x14ac:dyDescent="0.4">
      <c r="A21" s="16">
        <f>'Output - 3 dígitos'!B43</f>
        <v>161</v>
      </c>
      <c r="B21" s="16" t="str">
        <f>'Output - 3 dígitos'!C43</f>
        <v xml:space="preserve"> Aserrado y cepillado de madera</v>
      </c>
      <c r="C21" s="16" t="s">
        <v>35</v>
      </c>
      <c r="D21" s="16">
        <f>'Output - 3 dígitos'!E43</f>
        <v>89243455</v>
      </c>
      <c r="E21" s="16">
        <f>'Output - 3 dígitos'!F43</f>
        <v>1620280</v>
      </c>
      <c r="F21" s="16">
        <f>'Output - 3 dígitos'!G43</f>
        <v>1.8155729179243452E-2</v>
      </c>
      <c r="H21" s="16">
        <v>20</v>
      </c>
      <c r="I21" s="16" t="str">
        <v xml:space="preserve"> Fabricación de componentes electrónicos</v>
      </c>
      <c r="J21" s="17">
        <v>6.116957917011169E-2</v>
      </c>
      <c r="K21" s="18">
        <v>0.46660344827586209</v>
      </c>
    </row>
    <row r="22" spans="1:11" x14ac:dyDescent="0.4">
      <c r="A22" s="16">
        <f>'Output - 3 dígitos'!B44</f>
        <v>162</v>
      </c>
      <c r="B22" s="16" t="str">
        <f>'Output - 3 dígitos'!C44</f>
        <v xml:space="preserve"> FabricaciÃ³n de productos de madera, corcho, paja y materiales trenzables</v>
      </c>
      <c r="C22" s="16" t="s">
        <v>37</v>
      </c>
      <c r="D22" s="16">
        <f>'Output - 3 dígitos'!E44</f>
        <v>140538819</v>
      </c>
      <c r="E22" s="16">
        <f>'Output - 3 dígitos'!F44</f>
        <v>7716001</v>
      </c>
      <c r="F22" s="16">
        <f>'Output - 3 dígitos'!G44</f>
        <v>5.490298733761239E-2</v>
      </c>
      <c r="H22" s="16">
        <v>21</v>
      </c>
      <c r="I22" s="16" t="str">
        <v>Fabricación de prendas de vestir de punto</v>
      </c>
      <c r="J22" s="17">
        <v>5.8419981682525247E-2</v>
      </c>
      <c r="K22" s="18">
        <v>0.64525103448275867</v>
      </c>
    </row>
    <row r="23" spans="1:11" x14ac:dyDescent="0.4">
      <c r="A23" s="16">
        <f>'Output - 3 dígitos'!B45</f>
        <v>170</v>
      </c>
      <c r="B23" s="16" t="str">
        <f>'Output - 3 dígitos'!C45</f>
        <v xml:space="preserve"> FabricaciÃ³n de papel y de productos de papel</v>
      </c>
      <c r="C23" s="16" t="s">
        <v>39</v>
      </c>
      <c r="D23" s="16">
        <f>'Output - 3 dígitos'!E45</f>
        <v>365329486</v>
      </c>
      <c r="E23" s="16">
        <f>'Output - 3 dígitos'!F45</f>
        <v>43206540</v>
      </c>
      <c r="F23" s="16">
        <f>'Output - 3 dígitos'!G45</f>
        <v>0.11826732211809479</v>
      </c>
      <c r="H23" s="16">
        <v>22</v>
      </c>
      <c r="I23" s="16" t="str">
        <v xml:space="preserve"> Fabricación  de hilados y  tejidos, acabado de productos textiles</v>
      </c>
      <c r="J23" s="17">
        <v>5.6459978704525356E-2</v>
      </c>
      <c r="K23" s="18">
        <v>10.536133103448275</v>
      </c>
    </row>
    <row r="24" spans="1:11" x14ac:dyDescent="0.4">
      <c r="A24" s="16">
        <f>'Output - 3 dígitos'!B46</f>
        <v>181</v>
      </c>
      <c r="B24" s="16" t="str">
        <f>'Output - 3 dígitos'!C46</f>
        <v xml:space="preserve"> ImpresiÃ³n y servicios relacionados con la impresiÃ³n</v>
      </c>
      <c r="C24" s="16" t="s">
        <v>41</v>
      </c>
      <c r="D24" s="16">
        <f>'Output - 3 dígitos'!E46</f>
        <v>109822983</v>
      </c>
      <c r="E24" s="16">
        <f>'Output - 3 dígitos'!F46</f>
        <v>10420598</v>
      </c>
      <c r="F24" s="16">
        <f>'Output - 3 dígitos'!G46</f>
        <v>9.4885402994380516E-2</v>
      </c>
      <c r="H24" s="16">
        <v>23</v>
      </c>
      <c r="I24" s="16" t="str">
        <v xml:space="preserve"> Fabricación de productos de madera, corcho, paja y materiales trenzables</v>
      </c>
      <c r="J24" s="17">
        <v>5.490298733761239E-2</v>
      </c>
      <c r="K24" s="18">
        <v>5.3213800000000004</v>
      </c>
    </row>
    <row r="25" spans="1:11" x14ac:dyDescent="0.4">
      <c r="A25" s="16">
        <f>'Output - 3 dígitos'!B47</f>
        <v>182</v>
      </c>
      <c r="B25" s="16" t="str">
        <f>'Output - 3 dígitos'!C47</f>
        <v xml:space="preserve"> ReproducciÃ³n de grabaciones</v>
      </c>
      <c r="C25" s="16" t="s">
        <v>34</v>
      </c>
      <c r="D25" s="16">
        <f>'Output - 3 dígitos'!E47</f>
        <v>1908420</v>
      </c>
      <c r="E25" s="16">
        <f>'Output - 3 dígitos'!F47</f>
        <v>10329</v>
      </c>
      <c r="F25" s="16">
        <f>'Output - 3 dígitos'!G47</f>
        <v>5.4123306190461216E-3</v>
      </c>
      <c r="H25" s="16">
        <v>24</v>
      </c>
      <c r="I25" s="16" t="str">
        <v xml:space="preserve"> Fabricación de productos químicos ncp</v>
      </c>
      <c r="J25" s="17">
        <v>5.4201998148393438E-2</v>
      </c>
      <c r="K25" s="18">
        <v>45.280216551724138</v>
      </c>
    </row>
    <row r="26" spans="1:11" x14ac:dyDescent="0.4">
      <c r="A26" s="16">
        <f>'Output - 3 dígitos'!B48</f>
        <v>191</v>
      </c>
      <c r="B26" s="16" t="str">
        <f>'Output - 3 dígitos'!C48</f>
        <v xml:space="preserve"> FabricaciÃ³n de productos de hornos de coque</v>
      </c>
      <c r="C26" s="16" t="s">
        <v>43</v>
      </c>
      <c r="D26" s="16">
        <f>'Output - 3 dígitos'!E48</f>
        <v>28164302</v>
      </c>
      <c r="E26" s="16">
        <f>'Output - 3 dígitos'!F48</f>
        <v>2450887</v>
      </c>
      <c r="F26" s="16">
        <f>'Output - 3 dígitos'!G48</f>
        <v>8.7021045293435642E-2</v>
      </c>
      <c r="H26" s="16">
        <v>25</v>
      </c>
      <c r="I26" s="16" t="str">
        <v xml:space="preserve"> Fabricación de productos minerales no metálicos ncp</v>
      </c>
      <c r="J26" s="17">
        <v>4.3187269584084573E-2</v>
      </c>
      <c r="K26" s="18">
        <v>17.174739310344826</v>
      </c>
    </row>
    <row r="27" spans="1:11" x14ac:dyDescent="0.4">
      <c r="A27" s="16">
        <f>'Output - 3 dígitos'!B49</f>
        <v>192</v>
      </c>
      <c r="B27" s="16" t="str">
        <f>'Output - 3 dígitos'!C49</f>
        <v xml:space="preserve"> FabricaciÃ³n de productos de la refinaciÃ³n del petrÃ³leo</v>
      </c>
      <c r="C27" s="16" t="s">
        <v>45</v>
      </c>
      <c r="D27" s="16">
        <f>'Output - 3 dígitos'!E49</f>
        <v>2641035912</v>
      </c>
      <c r="E27" s="16">
        <f>'Output - 3 dígitos'!F49</f>
        <v>34912581</v>
      </c>
      <c r="F27" s="16">
        <f>'Output - 3 dígitos'!G49</f>
        <v>1.3219275376517485E-2</v>
      </c>
      <c r="I27" s="16" t="str">
        <v xml:space="preserve"> Fabricación de artículos de deporte</v>
      </c>
      <c r="J27" s="17">
        <v>4.1517094159931725E-2</v>
      </c>
      <c r="K27" s="18">
        <v>0.11564689655172412</v>
      </c>
    </row>
    <row r="28" spans="1:11" x14ac:dyDescent="0.4">
      <c r="A28" s="16">
        <f>'Output - 3 dígitos'!B50</f>
        <v>201</v>
      </c>
      <c r="B28" s="16" t="str">
        <f>'Output - 3 dígitos'!C50</f>
        <v xml:space="preserve"> FabricaciÃ³n de sustancias quÃ­micas bÃ¡sicas</v>
      </c>
      <c r="C28" s="16" t="s">
        <v>47</v>
      </c>
      <c r="D28" s="16">
        <f>'Output - 3 dígitos'!E50</f>
        <v>908216901</v>
      </c>
      <c r="E28" s="16">
        <f>'Output - 3 dígitos'!F50</f>
        <v>18650123</v>
      </c>
      <c r="F28" s="16">
        <f>'Output - 3 dígitos'!G50</f>
        <v>2.0534877714194839E-2</v>
      </c>
      <c r="I28" s="16" t="str">
        <v xml:space="preserve"> Fabricación de productos metálicos para uso estructural, tanques, depósitos y generadores de vapor</v>
      </c>
      <c r="J28" s="17">
        <v>3.5321511192485999E-2</v>
      </c>
      <c r="K28" s="18">
        <v>3.4109262068965518</v>
      </c>
    </row>
    <row r="29" spans="1:11" x14ac:dyDescent="0.4">
      <c r="A29" s="16">
        <f>'Output - 3 dígitos'!B51</f>
        <v>202</v>
      </c>
      <c r="B29" s="16" t="str">
        <f>'Output - 3 dígitos'!C51</f>
        <v xml:space="preserve"> FabricaciÃ³n de productos quÃ­micos ncp</v>
      </c>
      <c r="C29" s="16" t="s">
        <v>49</v>
      </c>
      <c r="D29" s="16">
        <f>'Output - 3 dígitos'!E51</f>
        <v>1211326450</v>
      </c>
      <c r="E29" s="16">
        <f>'Output - 3 dígitos'!F51</f>
        <v>65656314</v>
      </c>
      <c r="F29" s="16">
        <f>'Output - 3 dígitos'!G51</f>
        <v>5.4201998148393438E-2</v>
      </c>
      <c r="I29" s="16" t="str">
        <v xml:space="preserve"> Fabricación de productos farmaceúticos, sustancias químicas medicinales y productos botánicos de uso farmaceútico</v>
      </c>
      <c r="J29" s="17">
        <v>3.1351094332836817E-2</v>
      </c>
      <c r="K29" s="18">
        <v>21.446818620689655</v>
      </c>
    </row>
    <row r="30" spans="1:11" x14ac:dyDescent="0.4">
      <c r="A30" s="16">
        <f>'Output - 3 dígitos'!B52</f>
        <v>203</v>
      </c>
      <c r="B30" s="16" t="str">
        <f>'Output - 3 dígitos'!C52</f>
        <v xml:space="preserve"> FabricaciÃ³n de fibras manufacturadas</v>
      </c>
      <c r="C30" s="16" t="s">
        <v>50</v>
      </c>
      <c r="D30" s="16">
        <f>'Output - 3 dígitos'!E52</f>
        <v>7231538</v>
      </c>
      <c r="E30" s="16">
        <f>'Output - 3 dígitos'!F52</f>
        <v>1256141</v>
      </c>
      <c r="F30" s="16">
        <f>'Output - 3 dígitos'!G52</f>
        <v>0.17370315968746897</v>
      </c>
      <c r="I30" s="16" t="str">
        <v xml:space="preserve"> Servicios industriales para la elaboración de alimentos y bebidas</v>
      </c>
      <c r="J30" s="17">
        <v>2.9968393269642502E-2</v>
      </c>
      <c r="K30" s="18">
        <v>7.2158620689655173E-2</v>
      </c>
    </row>
    <row r="31" spans="1:11" x14ac:dyDescent="0.4">
      <c r="A31" s="16">
        <f>'Output - 3 dígitos'!B53</f>
        <v>204</v>
      </c>
      <c r="B31" s="16" t="str">
        <f>'Output - 3 dígitos'!C53</f>
        <v xml:space="preserve"> Servicios industriales para la fabricaciÃ³n de sustancias y productos quÃ­micos</v>
      </c>
      <c r="C31" s="16" t="s">
        <v>20</v>
      </c>
      <c r="D31" s="16">
        <f>'Output - 3 dígitos'!E53</f>
        <v>5843317</v>
      </c>
      <c r="E31" s="16">
        <f>'Output - 3 dígitos'!F53</f>
        <v>11216</v>
      </c>
      <c r="F31" s="16">
        <f>'Output - 3 dígitos'!G53</f>
        <v>1.9194577326542442E-3</v>
      </c>
      <c r="I31" s="16" t="str">
        <v xml:space="preserve"> Fabricación de vidrio y productos de vidrio</v>
      </c>
      <c r="J31" s="17">
        <v>2.7210006750910721E-2</v>
      </c>
      <c r="K31" s="18">
        <v>1.3206365517241379</v>
      </c>
    </row>
    <row r="32" spans="1:11" x14ac:dyDescent="0.4">
      <c r="A32" s="16">
        <f>'Output - 3 dígitos'!B54</f>
        <v>210</v>
      </c>
      <c r="B32" s="16" t="str">
        <f>'Output - 3 dígitos'!C54</f>
        <v xml:space="preserve"> FabricaciÃ³n de productos farmaceÃºticos, sustancias quÃ­micas medicinales y productos botÃ¡nicos de uso farmaceÃºtico</v>
      </c>
      <c r="C32" s="16" t="s">
        <v>53</v>
      </c>
      <c r="D32" s="16">
        <f>'Output - 3 dígitos'!E54</f>
        <v>991923493</v>
      </c>
      <c r="E32" s="16">
        <f>'Output - 3 dígitos'!F54</f>
        <v>31097887</v>
      </c>
      <c r="F32" s="16">
        <f>'Output - 3 dígitos'!G54</f>
        <v>3.1351094332836817E-2</v>
      </c>
      <c r="I32" s="16" t="str">
        <v xml:space="preserve"> Fabricación de productos de caucho</v>
      </c>
      <c r="J32" s="17">
        <v>2.6525250850914943E-2</v>
      </c>
      <c r="K32" s="18">
        <v>1.1581220689655172</v>
      </c>
    </row>
    <row r="33" spans="1:11" x14ac:dyDescent="0.4">
      <c r="A33" s="16">
        <f>'Output - 3 dígitos'!B55</f>
        <v>221</v>
      </c>
      <c r="B33" s="16" t="str">
        <f>'Output - 3 dígitos'!C55</f>
        <v xml:space="preserve"> FabricaciÃ³n de productos de caucho</v>
      </c>
      <c r="C33" s="16" t="s">
        <v>54</v>
      </c>
      <c r="D33" s="16">
        <f>'Output - 3 dígitos'!E55</f>
        <v>63308619</v>
      </c>
      <c r="E33" s="16">
        <f>'Output - 3 dígitos'!F55</f>
        <v>1679277</v>
      </c>
      <c r="F33" s="16">
        <f>'Output - 3 dígitos'!G55</f>
        <v>2.6525250850914943E-2</v>
      </c>
      <c r="I33" s="16" t="str">
        <v xml:space="preserve"> Producción y procesamiento de carne y productos cárnicos, excepto pescado</v>
      </c>
      <c r="J33" s="17">
        <v>2.2284793348006718E-2</v>
      </c>
      <c r="K33" s="18">
        <v>44.542934482758618</v>
      </c>
    </row>
    <row r="34" spans="1:11" x14ac:dyDescent="0.4">
      <c r="A34" s="16">
        <f>'Output - 3 dígitos'!B56</f>
        <v>222</v>
      </c>
      <c r="B34" s="16" t="str">
        <f>'Output - 3 dígitos'!C56</f>
        <v xml:space="preserve"> FabricaciÃ³n de productos de plÃ¡stico</v>
      </c>
      <c r="C34" s="16" t="s">
        <v>56</v>
      </c>
      <c r="D34" s="16">
        <f>'Output - 3 dígitos'!E56</f>
        <v>431417018</v>
      </c>
      <c r="E34" s="16">
        <f>'Output - 3 dígitos'!F56</f>
        <v>8474995</v>
      </c>
      <c r="F34" s="16">
        <f>'Output - 3 dígitos'!G56</f>
        <v>1.9644554216449572E-2</v>
      </c>
      <c r="I34" s="16" t="str">
        <v xml:space="preserve"> Elaboración de aceites y grasas de origen vegetal</v>
      </c>
      <c r="J34" s="17">
        <v>2.1053956922442975E-2</v>
      </c>
      <c r="K34" s="18">
        <v>10.71033724137931</v>
      </c>
    </row>
    <row r="35" spans="1:11" x14ac:dyDescent="0.4">
      <c r="A35" s="16">
        <f>'Output - 3 dígitos'!B57</f>
        <v>231</v>
      </c>
      <c r="B35" s="16" t="str">
        <f>'Output - 3 dígitos'!C57</f>
        <v xml:space="preserve"> FabricaciÃ³n de vidrio y productos de vidrio</v>
      </c>
      <c r="C35" s="16" t="s">
        <v>58</v>
      </c>
      <c r="D35" s="16">
        <f>'Output - 3 dígitos'!E57</f>
        <v>70375690</v>
      </c>
      <c r="E35" s="16">
        <f>'Output - 3 dígitos'!F57</f>
        <v>1914923</v>
      </c>
      <c r="F35" s="16">
        <f>'Output - 3 dígitos'!G57</f>
        <v>2.7210006750910721E-2</v>
      </c>
      <c r="I35" s="16" t="str">
        <v xml:space="preserve"> Fabricación de sustancias químicas básicas</v>
      </c>
      <c r="J35" s="17">
        <v>2.0534877714194839E-2</v>
      </c>
      <c r="K35" s="18">
        <v>12.862153793103449</v>
      </c>
    </row>
    <row r="36" spans="1:11" x14ac:dyDescent="0.4">
      <c r="A36" s="16">
        <f>'Output - 3 dígitos'!B58</f>
        <v>239</v>
      </c>
      <c r="B36" s="16" t="str">
        <f>'Output - 3 dígitos'!C58</f>
        <v xml:space="preserve"> FabricaciÃ³n de productos minerales no metÃ¡licos ncp</v>
      </c>
      <c r="C36" s="16" t="s">
        <v>59</v>
      </c>
      <c r="D36" s="16">
        <f>'Output - 3 dígitos'!E58</f>
        <v>576636871</v>
      </c>
      <c r="E36" s="16">
        <f>'Output - 3 dígitos'!F58</f>
        <v>24903372</v>
      </c>
      <c r="F36" s="16">
        <f>'Output - 3 dígitos'!G58</f>
        <v>4.3187269584084573E-2</v>
      </c>
      <c r="I36" s="16" t="str">
        <v xml:space="preserve"> Fabricación de productos de plástico</v>
      </c>
      <c r="J36" s="17">
        <v>1.9644554216449572E-2</v>
      </c>
      <c r="K36" s="18">
        <v>5.8448241379310346</v>
      </c>
    </row>
    <row r="37" spans="1:11" x14ac:dyDescent="0.4">
      <c r="A37" s="16">
        <f>'Output - 3 dígitos'!B59</f>
        <v>241</v>
      </c>
      <c r="B37" s="16" t="str">
        <f>'Output - 3 dígitos'!C59</f>
        <v xml:space="preserve"> Industrias bÃ¡sicas de hierro y acero</v>
      </c>
      <c r="C37" s="16" t="s">
        <v>27</v>
      </c>
      <c r="D37" s="16">
        <f>'Output - 3 dígitos'!E59</f>
        <v>470760252</v>
      </c>
      <c r="E37" s="16">
        <f>'Output - 3 dígitos'!F59</f>
        <v>2015159</v>
      </c>
      <c r="F37" s="16">
        <f>'Output - 3 dígitos'!G59</f>
        <v>4.2806481461395767E-3</v>
      </c>
      <c r="I37" s="16" t="str">
        <v xml:space="preserve"> Fabricación de productos elaborados de metal ncp</v>
      </c>
      <c r="J37" s="17">
        <v>1.9127708966303371E-2</v>
      </c>
      <c r="K37" s="18">
        <v>5.8527868965517236</v>
      </c>
    </row>
    <row r="38" spans="1:11" x14ac:dyDescent="0.4">
      <c r="A38" s="16">
        <f>'Output - 3 dígitos'!B60</f>
        <v>242</v>
      </c>
      <c r="B38" s="16" t="str">
        <f>'Output - 3 dígitos'!C60</f>
        <v xml:space="preserve"> FabricaciÃ³n de productos primarios de metales preciosos y metales no ferrosos</v>
      </c>
      <c r="C38" s="16" t="s">
        <v>13</v>
      </c>
      <c r="D38" s="16">
        <f>'Output - 3 dígitos'!E60</f>
        <v>238815019</v>
      </c>
      <c r="E38" s="16">
        <f>'Output - 3 dígitos'!F60</f>
        <v>278630</v>
      </c>
      <c r="F38" s="16">
        <f>'Output - 3 dígitos'!G60</f>
        <v>1.1667189156139297E-3</v>
      </c>
      <c r="I38" s="16" t="str">
        <v xml:space="preserve"> Aserrado y cepillado de madera</v>
      </c>
      <c r="J38" s="17">
        <v>1.8155729179243452E-2</v>
      </c>
      <c r="K38" s="18">
        <v>1.1174344827586207</v>
      </c>
    </row>
    <row r="39" spans="1:11" x14ac:dyDescent="0.4">
      <c r="A39" s="16">
        <f>'Output - 3 dígitos'!B61</f>
        <v>243</v>
      </c>
      <c r="B39" s="16" t="str">
        <f>'Output - 3 dígitos'!C61</f>
        <v xml:space="preserve"> FundiciÃ³n de metales</v>
      </c>
      <c r="C39" s="16" t="s">
        <v>42</v>
      </c>
      <c r="D39" s="16">
        <f>'Output - 3 dígitos'!E61</f>
        <v>131058134</v>
      </c>
      <c r="E39" s="16">
        <f>'Output - 3 dígitos'!F61</f>
        <v>1499678</v>
      </c>
      <c r="F39" s="16">
        <f>'Output - 3 dígitos'!G61</f>
        <v>1.1442845661147595E-2</v>
      </c>
      <c r="I39" s="16" t="str">
        <v xml:space="preserve"> Fabricación de aparatos e instrumentos para medir, verificar, ensayar, navegar y otros fines, excepto instrumentos de óptica</v>
      </c>
      <c r="J39" s="17">
        <v>1.5827537853122374E-2</v>
      </c>
      <c r="K39" s="18">
        <v>0.12393310344827586</v>
      </c>
    </row>
    <row r="40" spans="1:11" x14ac:dyDescent="0.4">
      <c r="A40" s="16">
        <f>'Output - 3 dígitos'!B62</f>
        <v>251</v>
      </c>
      <c r="B40" s="16" t="str">
        <f>'Output - 3 dígitos'!C62</f>
        <v xml:space="preserve"> FabricaciÃ³n de productos metÃ¡licos para uso estructural, tanques, depÃ³sitos y generadores de vapor</v>
      </c>
      <c r="C40" s="16" t="s">
        <v>61</v>
      </c>
      <c r="D40" s="16">
        <f>'Output - 3 dígitos'!E62</f>
        <v>140023539</v>
      </c>
      <c r="E40" s="16">
        <f>'Output - 3 dígitos'!F62</f>
        <v>4945843</v>
      </c>
      <c r="F40" s="16">
        <f>'Output - 3 dígitos'!G62</f>
        <v>3.5321511192485999E-2</v>
      </c>
      <c r="I40" s="16" t="str">
        <v xml:space="preserve"> Fabricación de equipos y productos informáticos</v>
      </c>
      <c r="J40" s="17">
        <v>1.461296171498221E-2</v>
      </c>
      <c r="K40" s="18">
        <v>0.95268413793103457</v>
      </c>
    </row>
    <row r="41" spans="1:11" x14ac:dyDescent="0.4">
      <c r="A41" s="16">
        <f>'Output - 3 dígitos'!B63</f>
        <v>252</v>
      </c>
      <c r="B41" s="16" t="str">
        <f>'Output - 3 dígitos'!C63</f>
        <v xml:space="preserve"> FabricaciÃ³n de armas y municiones</v>
      </c>
      <c r="C41" s="16" t="s">
        <v>3</v>
      </c>
      <c r="D41" s="16">
        <f>'Output - 3 dígitos'!E63</f>
        <v>282727</v>
      </c>
      <c r="E41" s="16">
        <f>'Output - 3 dígitos'!F63</f>
        <v>0</v>
      </c>
      <c r="F41" s="16">
        <f>'Output - 3 dígitos'!G63</f>
        <v>0</v>
      </c>
      <c r="I41" s="16" t="str">
        <v xml:space="preserve"> Elaboración de productos lácteos</v>
      </c>
      <c r="J41" s="17">
        <v>1.4569336750718592E-2</v>
      </c>
      <c r="K41" s="18">
        <v>5.6150613793103448</v>
      </c>
    </row>
    <row r="42" spans="1:11" x14ac:dyDescent="0.4">
      <c r="A42" s="16">
        <f>'Output - 3 dígitos'!B64</f>
        <v>259</v>
      </c>
      <c r="B42" s="16" t="str">
        <f>'Output - 3 dígitos'!C64</f>
        <v xml:space="preserve"> FabricaciÃ³n de productos elaborados de metal ncp</v>
      </c>
      <c r="C42" s="16" t="s">
        <v>60</v>
      </c>
      <c r="D42" s="16">
        <f>'Output - 3 dígitos'!E64</f>
        <v>443677861</v>
      </c>
      <c r="E42" s="16">
        <f>'Output - 3 dígitos'!F64</f>
        <v>8486541</v>
      </c>
      <c r="F42" s="16">
        <f>'Output - 3 dígitos'!G64</f>
        <v>1.9127708966303371E-2</v>
      </c>
      <c r="I42" s="16" t="str">
        <v xml:space="preserve"> Construcción y reparación de buques y embarcaciones</v>
      </c>
      <c r="J42" s="17">
        <v>1.3679128252590825E-2</v>
      </c>
      <c r="K42" s="18">
        <v>0.13848275862068965</v>
      </c>
    </row>
    <row r="43" spans="1:11" x14ac:dyDescent="0.4">
      <c r="A43" s="16">
        <f>'Output - 3 dígitos'!B65</f>
        <v>261</v>
      </c>
      <c r="B43" s="16" t="str">
        <f>'Output - 3 dígitos'!C65</f>
        <v xml:space="preserve"> FabricaciÃ³n de componentes electrÃ³nicos</v>
      </c>
      <c r="C43" s="16" t="s">
        <v>62</v>
      </c>
      <c r="D43" s="16">
        <f>'Output - 3 dígitos'!E65</f>
        <v>11060645</v>
      </c>
      <c r="E43" s="16">
        <f>'Output - 3 dígitos'!F65</f>
        <v>676575</v>
      </c>
      <c r="F43" s="16">
        <f>'Output - 3 dígitos'!G65</f>
        <v>6.116957917011169E-2</v>
      </c>
      <c r="I43" s="16" t="str">
        <v xml:space="preserve"> Industrias manufactureras ncp</v>
      </c>
      <c r="J43" s="17">
        <v>1.3555550409688292E-2</v>
      </c>
      <c r="K43" s="18">
        <v>3.2584075862068964</v>
      </c>
    </row>
    <row r="44" spans="1:11" x14ac:dyDescent="0.4">
      <c r="A44" s="16">
        <f>'Output - 3 dígitos'!B66</f>
        <v>262</v>
      </c>
      <c r="B44" s="16" t="str">
        <f>'Output - 3 dígitos'!C66</f>
        <v xml:space="preserve"> FabricaciÃ³n de equipos y productos informÃ¡ticos</v>
      </c>
      <c r="C44" s="16" t="s">
        <v>55</v>
      </c>
      <c r="D44" s="16">
        <f>'Output - 3 dígitos'!E66</f>
        <v>94531966</v>
      </c>
      <c r="E44" s="16">
        <f>'Output - 3 dígitos'!F66</f>
        <v>1381392</v>
      </c>
      <c r="F44" s="16">
        <f>'Output - 3 dígitos'!G66</f>
        <v>1.461296171498221E-2</v>
      </c>
      <c r="I44" s="16" t="str">
        <v xml:space="preserve"> Fabricación de equipo médico y quirúrgico y de aparatos ortopédicos </v>
      </c>
      <c r="J44" s="17">
        <v>1.3519736052213252E-2</v>
      </c>
      <c r="K44" s="18">
        <v>0.33975586206896552</v>
      </c>
    </row>
    <row r="45" spans="1:11" x14ac:dyDescent="0.4">
      <c r="A45" s="16">
        <f>'Output - 3 dígitos'!B67</f>
        <v>263</v>
      </c>
      <c r="B45" s="16" t="str">
        <f>'Output - 3 dígitos'!C67</f>
        <v xml:space="preserve"> FabricaciÃ³n  de equipos de comunicaciones y transmisores de radio y televisiÃ³n</v>
      </c>
      <c r="C45" s="16" t="s">
        <v>22</v>
      </c>
      <c r="D45" s="16">
        <f>'Output - 3 dígitos'!E67</f>
        <v>193960277</v>
      </c>
      <c r="E45" s="16">
        <f>'Output - 3 dígitos'!F67</f>
        <v>460132</v>
      </c>
      <c r="F45" s="16">
        <f>'Output - 3 dígitos'!G67</f>
        <v>2.3723001797940307E-3</v>
      </c>
      <c r="I45" s="16" t="str">
        <v xml:space="preserve"> Fabricación de productos de la refinación del petróleo</v>
      </c>
      <c r="J45" s="17">
        <v>1.3219275376517485E-2</v>
      </c>
      <c r="K45" s="18">
        <v>24.077642068965517</v>
      </c>
    </row>
    <row r="46" spans="1:11" x14ac:dyDescent="0.4">
      <c r="A46" s="16">
        <f>'Output - 3 dígitos'!B68</f>
        <v>264</v>
      </c>
      <c r="B46" s="16" t="str">
        <f>'Output - 3 dígitos'!C68</f>
        <v xml:space="preserve"> FabricaciÃ³n de receptores de radio y televisiÃ³n, aparatos de grabaciÃ³n y reproducciÃ³n de sonido y video, y productos conexos</v>
      </c>
      <c r="C46" s="16" t="s">
        <v>5</v>
      </c>
      <c r="D46" s="16">
        <f>'Output - 3 dígitos'!E68</f>
        <v>639650884</v>
      </c>
      <c r="E46" s="16">
        <f>'Output - 3 dígitos'!F68</f>
        <v>8384</v>
      </c>
      <c r="F46" s="16">
        <f>'Output - 3 dígitos'!G68</f>
        <v>1.3107149868333489E-5</v>
      </c>
      <c r="I46" s="16" t="str">
        <v xml:space="preserve"> Fabricación de juegos y juguetes</v>
      </c>
      <c r="J46" s="17">
        <v>1.2721906816831566E-2</v>
      </c>
      <c r="K46" s="18">
        <v>4.0906896551724137E-2</v>
      </c>
    </row>
    <row r="47" spans="1:11" x14ac:dyDescent="0.4">
      <c r="A47" s="16">
        <f>'Output - 3 dígitos'!B69</f>
        <v>265</v>
      </c>
      <c r="B47" s="16" t="str">
        <f>'Output - 3 dígitos'!C69</f>
        <v xml:space="preserve"> FabricaciÃ³n de aparatos e instrumentos para medir, verificar, ensayar, navegar y otros fines, excepto instrumentos de Ã³ptica</v>
      </c>
      <c r="C47" s="16" t="s">
        <v>57</v>
      </c>
      <c r="D47" s="16">
        <f>'Output - 3 dígitos'!E69</f>
        <v>11353819</v>
      </c>
      <c r="E47" s="16">
        <f>'Output - 3 dígitos'!F69</f>
        <v>179703</v>
      </c>
      <c r="F47" s="16">
        <f>'Output - 3 dígitos'!G69</f>
        <v>1.5827537853122374E-2</v>
      </c>
      <c r="I47" s="16" t="str">
        <v xml:space="preserve"> Fabricación de partes, piezas y accesorios para vehículos automotores y sus motores</v>
      </c>
      <c r="J47" s="17">
        <v>1.2059310922337512E-2</v>
      </c>
      <c r="K47" s="18">
        <v>1.8554151724137931</v>
      </c>
    </row>
    <row r="48" spans="1:11" x14ac:dyDescent="0.4">
      <c r="A48" s="16">
        <f>'Output - 3 dígitos'!B70</f>
        <v>266</v>
      </c>
      <c r="B48" s="16" t="str">
        <f>'Output - 3 dígitos'!C70</f>
        <v xml:space="preserve"> FabricaciÃ³n de equipo mÃ©dico y quirÃºrgico y de aparatos ortopÃ©dicos </v>
      </c>
      <c r="C48" s="16" t="s">
        <v>51</v>
      </c>
      <c r="D48" s="16">
        <f>'Output - 3 dígitos'!E70</f>
        <v>36439025</v>
      </c>
      <c r="E48" s="16">
        <f>'Output - 3 dígitos'!F70</f>
        <v>492646</v>
      </c>
      <c r="F48" s="16">
        <f>'Output - 3 dígitos'!G70</f>
        <v>1.3519736052213252E-2</v>
      </c>
      <c r="I48" s="16" t="str">
        <v xml:space="preserve"> Fundición de metales</v>
      </c>
      <c r="J48" s="17">
        <v>1.1442845661147595E-2</v>
      </c>
      <c r="K48" s="18">
        <v>1.0342606896551725</v>
      </c>
    </row>
    <row r="49" spans="1:11" x14ac:dyDescent="0.4">
      <c r="A49" s="16">
        <f>'Output - 3 dígitos'!B71</f>
        <v>267</v>
      </c>
      <c r="B49" s="16" t="str">
        <f>'Output - 3 dígitos'!C71</f>
        <v xml:space="preserve"> FabricaciÃ³n de instrumentos de Ã³ptica y equipo fotogrÃ¡fico</v>
      </c>
      <c r="C49" s="16" t="s">
        <v>24</v>
      </c>
      <c r="D49" s="16">
        <f>'Output - 3 dígitos'!E71</f>
        <v>8591452</v>
      </c>
      <c r="E49" s="16">
        <f>'Output - 3 dígitos'!F71</f>
        <v>27234</v>
      </c>
      <c r="F49" s="16">
        <f>'Output - 3 dígitos'!G71</f>
        <v>3.169894914154208E-3</v>
      </c>
      <c r="I49" s="16" t="str">
        <v xml:space="preserve"> Elaboración de productos alimenticios ncp</v>
      </c>
      <c r="J49" s="17">
        <v>1.0670802010609994E-2</v>
      </c>
      <c r="K49" s="18">
        <v>12.363275862068965</v>
      </c>
    </row>
    <row r="50" spans="1:11" x14ac:dyDescent="0.4">
      <c r="A50" s="16">
        <f>'Output - 3 dígitos'!B72</f>
        <v>268</v>
      </c>
      <c r="B50" s="16" t="str">
        <f>'Output - 3 dígitos'!C72</f>
        <v xml:space="preserve"> FabricaciÃ³n de soportes Ã³pticos y magnÃ©ticos</v>
      </c>
      <c r="C50" s="16" t="s">
        <v>64</v>
      </c>
      <c r="D50" s="16">
        <f>'Output - 3 dígitos'!E72</f>
        <v>12640243</v>
      </c>
      <c r="E50" s="16">
        <f>'Output - 3 dígitos'!F72</f>
        <v>857856</v>
      </c>
      <c r="F50" s="16">
        <f>'Output - 3 dígitos'!G72</f>
        <v>6.7867049707826033E-2</v>
      </c>
      <c r="I50" s="16" t="str">
        <v xml:space="preserve"> Fabricación  de equipo eléctrico ncp</v>
      </c>
      <c r="J50" s="17">
        <v>1.0246535297587E-2</v>
      </c>
      <c r="K50" s="18">
        <v>0.42581103448275864</v>
      </c>
    </row>
    <row r="51" spans="1:11" x14ac:dyDescent="0.4">
      <c r="A51" s="16">
        <f>'Output - 3 dígitos'!B73</f>
        <v>271</v>
      </c>
      <c r="B51" s="16" t="str">
        <f>'Output - 3 dígitos'!C73</f>
        <v xml:space="preserve"> FabricaciÃ³n de motores, generadores y transformadores elÃ©ctricos y aparatos de distribuciÃ³n  y control de la energÃ­a elÃ©ctrica</v>
      </c>
      <c r="C51" s="16" t="s">
        <v>65</v>
      </c>
      <c r="D51" s="16">
        <f>'Output - 3 dígitos'!E73</f>
        <v>65194044</v>
      </c>
      <c r="E51" s="16">
        <f>'Output - 3 dígitos'!F73</f>
        <v>8721403</v>
      </c>
      <c r="F51" s="16">
        <f>'Output - 3 dígitos'!G73</f>
        <v>0.13377607009621922</v>
      </c>
      <c r="I51" s="16" t="str">
        <v xml:space="preserve"> Fabricación de lámparas eléctricas y equipo de iluminación</v>
      </c>
      <c r="J51" s="17">
        <v>7.1968020174052816E-3</v>
      </c>
      <c r="K51" s="18">
        <v>0.29235586206896552</v>
      </c>
    </row>
    <row r="52" spans="1:11" x14ac:dyDescent="0.4">
      <c r="A52" s="16">
        <f>'Output - 3 dígitos'!B74</f>
        <v>272</v>
      </c>
      <c r="B52" s="16" t="str">
        <f>'Output - 3 dígitos'!C74</f>
        <v>FabricaciÃ³n de acumuladores,  pilas y baterÃ­as primarias</v>
      </c>
      <c r="C52" s="16" t="s">
        <v>66</v>
      </c>
      <c r="D52" s="16">
        <f>'Output - 3 dígitos'!E74</f>
        <v>33630099</v>
      </c>
      <c r="E52" s="16">
        <f>'Output - 3 dígitos'!F74</f>
        <v>2969356</v>
      </c>
      <c r="F52" s="16">
        <f>'Output - 3 dígitos'!G74</f>
        <v>8.8294595861879557E-2</v>
      </c>
      <c r="I52" s="16" t="str">
        <v xml:space="preserve"> Fabricación de instrumentos de música</v>
      </c>
      <c r="J52" s="17">
        <v>5.5303046811219121E-3</v>
      </c>
      <c r="K52" s="18">
        <v>7.526206896551724E-3</v>
      </c>
    </row>
    <row r="53" spans="1:11" x14ac:dyDescent="0.4">
      <c r="A53" s="16">
        <f>'Output - 3 dígitos'!B75</f>
        <v>273</v>
      </c>
      <c r="B53" s="16" t="str">
        <f>'Output - 3 dígitos'!C75</f>
        <v xml:space="preserve"> FabricaciÃ³n de hilos y cables aislados</v>
      </c>
      <c r="C53" s="16" t="s">
        <v>9</v>
      </c>
      <c r="D53" s="16">
        <f>'Output - 3 dígitos'!E75</f>
        <v>34868414</v>
      </c>
      <c r="E53" s="16">
        <f>'Output - 3 dígitos'!F75</f>
        <v>5084</v>
      </c>
      <c r="F53" s="16">
        <f>'Output - 3 dígitos'!G75</f>
        <v>1.4580531251005567E-4</v>
      </c>
      <c r="I53" s="16" t="str">
        <v xml:space="preserve"> Reproducción de grabaciones</v>
      </c>
      <c r="J53" s="17">
        <v>5.4123306190461216E-3</v>
      </c>
      <c r="K53" s="18">
        <v>7.1234482758620694E-3</v>
      </c>
    </row>
    <row r="54" spans="1:11" x14ac:dyDescent="0.4">
      <c r="A54" s="16">
        <f>'Output - 3 dígitos'!B76</f>
        <v>274</v>
      </c>
      <c r="B54" s="16" t="str">
        <f>'Output - 3 dígitos'!C76</f>
        <v xml:space="preserve"> FabricaciÃ³n de lÃ¡mparas elÃ©ctricas y equipo de iluminaciÃ³n</v>
      </c>
      <c r="C54" s="16" t="s">
        <v>38</v>
      </c>
      <c r="D54" s="16">
        <f>'Output - 3 dígitos'!E76</f>
        <v>58903385</v>
      </c>
      <c r="E54" s="16">
        <f>'Output - 3 dígitos'!F76</f>
        <v>423916</v>
      </c>
      <c r="F54" s="16">
        <f>'Output - 3 dígitos'!G76</f>
        <v>7.1968020174052816E-3</v>
      </c>
      <c r="I54" s="16" t="str">
        <v xml:space="preserve"> Fabricación de maquinaria y equipo de uso general</v>
      </c>
      <c r="J54" s="17">
        <v>5.151892616310689E-3</v>
      </c>
      <c r="K54" s="18">
        <v>1.441416551724138</v>
      </c>
    </row>
    <row r="55" spans="1:11" x14ac:dyDescent="0.4">
      <c r="A55" s="16">
        <f>'Output - 3 dígitos'!B77</f>
        <v>275</v>
      </c>
      <c r="B55" s="16" t="str">
        <f>'Output - 3 dígitos'!C77</f>
        <v xml:space="preserve"> FabricaciÃ³n de aparatos de uso domÃ©stico ncp</v>
      </c>
      <c r="C55" s="16" t="s">
        <v>18</v>
      </c>
      <c r="D55" s="16">
        <f>'Output - 3 dígitos'!E77</f>
        <v>456571188</v>
      </c>
      <c r="E55" s="16">
        <f>'Output - 3 dígitos'!F77</f>
        <v>756352</v>
      </c>
      <c r="F55" s="16">
        <f>'Output - 3 dígitos'!G77</f>
        <v>1.6565916112954548E-3</v>
      </c>
      <c r="I55" s="16" t="str">
        <v xml:space="preserve"> Elaboración de productos de tabaco</v>
      </c>
      <c r="J55" s="17">
        <v>4.4012315946401516E-3</v>
      </c>
      <c r="K55" s="18">
        <v>0.48131172413793105</v>
      </c>
    </row>
    <row r="56" spans="1:11" x14ac:dyDescent="0.4">
      <c r="A56" s="16">
        <f>'Output - 3 dígitos'!B78</f>
        <v>279</v>
      </c>
      <c r="B56" s="16" t="str">
        <f>'Output - 3 dígitos'!C78</f>
        <v xml:space="preserve"> FabricaciÃ³n  de equipo elÃ©ctrico ncp</v>
      </c>
      <c r="C56" s="16" t="s">
        <v>40</v>
      </c>
      <c r="D56" s="16">
        <f>'Output - 3 dígitos'!E78</f>
        <v>60257051</v>
      </c>
      <c r="E56" s="16">
        <f>'Output - 3 dígitos'!F78</f>
        <v>617426</v>
      </c>
      <c r="F56" s="16">
        <f>'Output - 3 dígitos'!G78</f>
        <v>1.0246535297587E-2</v>
      </c>
      <c r="I56" s="16" t="str">
        <v xml:space="preserve"> Fabricación de maquinaria y equipo de uso especial</v>
      </c>
      <c r="J56" s="17">
        <v>4.2926602669539219E-3</v>
      </c>
      <c r="K56" s="18">
        <v>1.646336551724138</v>
      </c>
    </row>
    <row r="57" spans="1:11" x14ac:dyDescent="0.4">
      <c r="A57" s="16">
        <f>'Output - 3 dígitos'!B79</f>
        <v>281</v>
      </c>
      <c r="B57" s="16" t="str">
        <f>'Output - 3 dígitos'!C79</f>
        <v xml:space="preserve"> FabricaciÃ³n de maquinaria y equipo de uso general</v>
      </c>
      <c r="C57" s="16" t="s">
        <v>32</v>
      </c>
      <c r="D57" s="16">
        <f>'Output - 3 dígitos'!E79</f>
        <v>405686639</v>
      </c>
      <c r="E57" s="16">
        <f>'Output - 3 dígitos'!F79</f>
        <v>2090054</v>
      </c>
      <c r="F57" s="16">
        <f>'Output - 3 dígitos'!G79</f>
        <v>5.151892616310689E-3</v>
      </c>
      <c r="I57" s="16" t="str">
        <v xml:space="preserve"> Industrias básicas de hierro y acero</v>
      </c>
      <c r="J57" s="17">
        <v>4.2806481461395767E-3</v>
      </c>
      <c r="K57" s="18">
        <v>1.3897648275862069</v>
      </c>
    </row>
    <row r="58" spans="1:11" x14ac:dyDescent="0.4">
      <c r="A58" s="16">
        <f>'Output - 3 dígitos'!B80</f>
        <v>282</v>
      </c>
      <c r="B58" s="16" t="str">
        <f>'Output - 3 dígitos'!C80</f>
        <v xml:space="preserve"> FabricaciÃ³n de maquinaria y equipo de uso especial</v>
      </c>
      <c r="C58" s="16" t="s">
        <v>29</v>
      </c>
      <c r="D58" s="16">
        <f>'Output - 3 dígitos'!E80</f>
        <v>556109231</v>
      </c>
      <c r="E58" s="16">
        <f>'Output - 3 dígitos'!F80</f>
        <v>2387188</v>
      </c>
      <c r="F58" s="16">
        <f>'Output - 3 dígitos'!G80</f>
        <v>4.2926602669539219E-3</v>
      </c>
      <c r="I58" s="16" t="str">
        <v xml:space="preserve"> Fabricación de equipo de transporte ncp</v>
      </c>
      <c r="J58" s="17">
        <v>3.3822312658497323E-3</v>
      </c>
      <c r="K58" s="18">
        <v>0.44126758620689654</v>
      </c>
    </row>
    <row r="59" spans="1:11" x14ac:dyDescent="0.4">
      <c r="A59" s="16">
        <f>'Output - 3 dígitos'!B81</f>
        <v>291</v>
      </c>
      <c r="B59" s="16" t="str">
        <f>'Output - 3 dígitos'!C81</f>
        <v xml:space="preserve"> FabricaciÃ³n de vehÃ­culos automotores</v>
      </c>
      <c r="C59" s="16" t="s">
        <v>11</v>
      </c>
      <c r="D59" s="16">
        <f>'Output - 3 dígitos'!E81</f>
        <v>2209547732</v>
      </c>
      <c r="E59" s="16">
        <f>'Output - 3 dígitos'!F81</f>
        <v>713276</v>
      </c>
      <c r="F59" s="16">
        <f>'Output - 3 dígitos'!G81</f>
        <v>3.2281538419374594E-4</v>
      </c>
      <c r="I59" s="16" t="str">
        <v xml:space="preserve"> Fabricación de instrumentos de óptica y equipo fotográfico</v>
      </c>
      <c r="J59" s="17">
        <v>3.169894914154208E-3</v>
      </c>
      <c r="K59" s="18">
        <v>1.8782068965517242E-2</v>
      </c>
    </row>
    <row r="60" spans="1:11" x14ac:dyDescent="0.4">
      <c r="A60" s="16">
        <f>'Output - 3 dígitos'!B82</f>
        <v>292</v>
      </c>
      <c r="B60" s="16" t="str">
        <f>'Output - 3 dígitos'!C82</f>
        <v xml:space="preserve"> FabricaciÃ³n  de  carrocerÃ­as  para  vehÃ­culos  automotores</v>
      </c>
      <c r="C60" s="16" t="s">
        <v>16</v>
      </c>
      <c r="D60" s="16">
        <f>'Output - 3 dígitos'!E82</f>
        <v>173217451</v>
      </c>
      <c r="E60" s="16">
        <f>'Output - 3 dígitos'!F82</f>
        <v>257051</v>
      </c>
      <c r="F60" s="16">
        <f>'Output - 3 dígitos'!G82</f>
        <v>1.4839786552453078E-3</v>
      </c>
      <c r="I60" s="16" t="str">
        <v xml:space="preserve"> Fabricación  de equipos de comunicaciones y transmisores de radio y televisión</v>
      </c>
      <c r="J60" s="17">
        <v>2.3723001797940307E-3</v>
      </c>
      <c r="K60" s="18">
        <v>0.31733241379310345</v>
      </c>
    </row>
    <row r="61" spans="1:11" x14ac:dyDescent="0.4">
      <c r="A61" s="16">
        <f>'Output - 3 dígitos'!B83</f>
        <v>293</v>
      </c>
      <c r="B61" s="16" t="str">
        <f>'Output - 3 dígitos'!C83</f>
        <v xml:space="preserve"> FabricaciÃ³n de partes, piezas y accesorios para vehÃ­culos automotores y sus motores</v>
      </c>
      <c r="C61" s="16" t="s">
        <v>44</v>
      </c>
      <c r="D61" s="16">
        <f>'Output - 3 dígitos'!E83</f>
        <v>223093344</v>
      </c>
      <c r="E61" s="16">
        <f>'Output - 3 dígitos'!F83</f>
        <v>2690352</v>
      </c>
      <c r="F61" s="16">
        <f>'Output - 3 dígitos'!G83</f>
        <v>1.2059310922337512E-2</v>
      </c>
      <c r="I61" s="16" t="str">
        <v xml:space="preserve"> Servicios industriales para la fabricación de sustancias y productos químicos</v>
      </c>
      <c r="J61" s="17">
        <v>1.9194577326542442E-3</v>
      </c>
      <c r="K61" s="18">
        <v>7.7351724137931033E-3</v>
      </c>
    </row>
    <row r="62" spans="1:11" x14ac:dyDescent="0.4">
      <c r="A62" s="16">
        <f>'Output - 3 dígitos'!B84</f>
        <v>301</v>
      </c>
      <c r="B62" s="16" t="str">
        <f>'Output - 3 dígitos'!C84</f>
        <v xml:space="preserve"> ConstrucciÃ³n y reparaciÃ³n de buques y embarcaciones</v>
      </c>
      <c r="C62" s="16" t="s">
        <v>48</v>
      </c>
      <c r="D62" s="16">
        <f>'Output - 3 dígitos'!E84</f>
        <v>14679298</v>
      </c>
      <c r="E62" s="16">
        <f>'Output - 3 dígitos'!F84</f>
        <v>200800</v>
      </c>
      <c r="F62" s="16">
        <f>'Output - 3 dígitos'!G84</f>
        <v>1.3679128252590825E-2</v>
      </c>
      <c r="I62" s="16" t="str">
        <v xml:space="preserve"> Fabricación de aparatos de uso doméstico ncp</v>
      </c>
      <c r="J62" s="17">
        <v>1.6565916112954548E-3</v>
      </c>
      <c r="K62" s="18">
        <v>0.52162206896551722</v>
      </c>
    </row>
    <row r="63" spans="1:11" x14ac:dyDescent="0.4">
      <c r="A63" s="16">
        <f>'Output - 3 dígitos'!B85</f>
        <v>302</v>
      </c>
      <c r="B63" s="16" t="str">
        <f>'Output - 3 dígitos'!C85</f>
        <v xml:space="preserve"> FabricaciÃ³n y reparaciÃ³n de locomotoras y de material rodante para transporte ferroviario</v>
      </c>
      <c r="C63" s="16" t="s">
        <v>69</v>
      </c>
      <c r="D63" s="16">
        <f>'Output - 3 dígitos'!E85</f>
        <v>846674</v>
      </c>
      <c r="E63" s="16">
        <f>'Output - 3 dígitos'!F85</f>
        <v>446344</v>
      </c>
      <c r="F63" s="16">
        <f>'Output - 3 dígitos'!G85</f>
        <v>0.52717338668720193</v>
      </c>
      <c r="I63" s="16" t="str">
        <v xml:space="preserve"> Fabricación  de  carrocerías  para  vehículos  automotores</v>
      </c>
      <c r="J63" s="17">
        <v>1.4839786552453078E-3</v>
      </c>
      <c r="K63" s="18">
        <v>0.17727655172413792</v>
      </c>
    </row>
    <row r="64" spans="1:11" x14ac:dyDescent="0.4">
      <c r="A64" s="16">
        <f>'Output - 3 dígitos'!B86</f>
        <v>303</v>
      </c>
      <c r="B64" s="16" t="str">
        <f>'Output - 3 dígitos'!C86</f>
        <v xml:space="preserve"> FabricaciÃ³n y reparaciÃ³n de aeronaves </v>
      </c>
      <c r="C64" s="16" t="s">
        <v>7</v>
      </c>
      <c r="D64" s="16">
        <f>'Output - 3 dígitos'!E86</f>
        <v>21600133</v>
      </c>
      <c r="E64" s="16">
        <f>'Output - 3 dígitos'!F86</f>
        <v>861</v>
      </c>
      <c r="F64" s="16">
        <f>'Output - 3 dígitos'!G86</f>
        <v>3.9860865671521562E-5</v>
      </c>
      <c r="I64" s="16" t="str">
        <v xml:space="preserve"> Preparación de frutas, hortalizas y legumbres</v>
      </c>
      <c r="J64" s="17">
        <v>1.4334266846870484E-3</v>
      </c>
      <c r="K64" s="18">
        <v>0.52570482758620696</v>
      </c>
    </row>
    <row r="65" spans="1:11" x14ac:dyDescent="0.4">
      <c r="A65" s="16">
        <f>'Output - 3 dígitos'!B87</f>
        <v>309</v>
      </c>
      <c r="B65" s="16" t="str">
        <f>'Output - 3 dígitos'!C87</f>
        <v xml:space="preserve"> FabricaciÃ³n de equipo de transporte ncp</v>
      </c>
      <c r="C65" s="16" t="s">
        <v>26</v>
      </c>
      <c r="D65" s="16">
        <f>'Output - 3 dígitos'!E87</f>
        <v>189176301</v>
      </c>
      <c r="E65" s="16">
        <f>'Output - 3 dígitos'!F87</f>
        <v>639838</v>
      </c>
      <c r="F65" s="16">
        <f>'Output - 3 dígitos'!G87</f>
        <v>3.3822312658497323E-3</v>
      </c>
      <c r="I65" s="16" t="str">
        <v xml:space="preserve"> Fabricación de productos primarios de metales preciosos y metales no ferrosos</v>
      </c>
      <c r="J65" s="17">
        <v>1.1667189156139297E-3</v>
      </c>
      <c r="K65" s="18">
        <v>0.19215862068965517</v>
      </c>
    </row>
    <row r="66" spans="1:11" x14ac:dyDescent="0.4">
      <c r="A66" s="16">
        <f>'Output - 3 dígitos'!B88</f>
        <v>310</v>
      </c>
      <c r="B66" s="16" t="str">
        <f>'Output - 3 dígitos'!C88</f>
        <v xml:space="preserve"> FabricaciÃ³n de muebles y colchones</v>
      </c>
      <c r="C66" s="16" t="s">
        <v>68</v>
      </c>
      <c r="D66" s="16">
        <f>'Output - 3 dígitos'!E88</f>
        <v>147204505</v>
      </c>
      <c r="E66" s="16">
        <f>'Output - 3 dígitos'!F88</f>
        <v>12379941</v>
      </c>
      <c r="F66" s="16">
        <f>'Output - 3 dígitos'!G88</f>
        <v>8.4100286197083443E-2</v>
      </c>
      <c r="I66" s="16" t="str">
        <v xml:space="preserve"> Fabricación de vehículos automotores</v>
      </c>
      <c r="J66" s="17">
        <v>3.2281538419374594E-4</v>
      </c>
      <c r="K66" s="18">
        <v>0.49191448275862065</v>
      </c>
    </row>
    <row r="67" spans="1:11" x14ac:dyDescent="0.4">
      <c r="A67" s="16">
        <f>'Output - 3 dígitos'!B89</f>
        <v>321</v>
      </c>
      <c r="B67" s="16" t="str">
        <f>'Output - 3 dígitos'!C89</f>
        <v xml:space="preserve"> FabricaciÃ³n de joyas, bijouterie y artÃ­culos conexos</v>
      </c>
      <c r="C67" s="16" t="s">
        <v>67</v>
      </c>
      <c r="D67" s="16">
        <f>'Output - 3 dígitos'!E89</f>
        <v>477951</v>
      </c>
      <c r="E67" s="16">
        <f>'Output - 3 dígitos'!F89</f>
        <v>38323</v>
      </c>
      <c r="F67" s="16">
        <f>'Output - 3 dígitos'!G89</f>
        <v>8.0181859646700188E-2</v>
      </c>
      <c r="I67" s="16" t="str">
        <v xml:space="preserve"> Fabricación de hilos y cables aislados</v>
      </c>
      <c r="J67" s="17">
        <v>1.4580531251005567E-4</v>
      </c>
      <c r="K67" s="18">
        <v>3.5062068965517239E-3</v>
      </c>
    </row>
    <row r="68" spans="1:11" x14ac:dyDescent="0.4">
      <c r="A68" s="16">
        <f>'Output - 3 dígitos'!B90</f>
        <v>322</v>
      </c>
      <c r="B68" s="16" t="str">
        <f>'Output - 3 dígitos'!C90</f>
        <v xml:space="preserve"> FabricaciÃ³n de instrumentos de mÃºsica</v>
      </c>
      <c r="C68" s="16" t="s">
        <v>36</v>
      </c>
      <c r="D68" s="16">
        <f>'Output - 3 dígitos'!E90</f>
        <v>1973309</v>
      </c>
      <c r="E68" s="16">
        <f>'Output - 3 dígitos'!F90</f>
        <v>10913</v>
      </c>
      <c r="F68" s="16">
        <f>'Output - 3 dígitos'!G90</f>
        <v>5.5303046811219121E-3</v>
      </c>
      <c r="I68" s="16" t="str">
        <v xml:space="preserve"> Fabricación y reparación de aeronaves </v>
      </c>
      <c r="J68" s="17">
        <v>3.9860865671521562E-5</v>
      </c>
      <c r="K68" s="18">
        <v>5.9379310344827589E-4</v>
      </c>
    </row>
    <row r="69" spans="1:11" x14ac:dyDescent="0.4">
      <c r="A69" s="16">
        <f>'Output - 3 dígitos'!B91</f>
        <v>323</v>
      </c>
      <c r="B69" s="16" t="str">
        <f>'Output - 3 dígitos'!C91</f>
        <v xml:space="preserve"> FabricaciÃ³n de artÃ­culos de deporte</v>
      </c>
      <c r="C69" s="16" t="s">
        <v>63</v>
      </c>
      <c r="D69" s="16">
        <f>'Output - 3 dígitos'!E91</f>
        <v>4039011</v>
      </c>
      <c r="E69" s="16">
        <f>'Output - 3 dígitos'!F91</f>
        <v>167688</v>
      </c>
      <c r="F69" s="16">
        <f>'Output - 3 dígitos'!G91</f>
        <v>4.1517094159931725E-2</v>
      </c>
      <c r="I69" s="16" t="str">
        <v xml:space="preserve"> Fabricación de receptores de radio y televisión, aparatos de grabación y reproducción de sonido y video, y productos conexos</v>
      </c>
      <c r="J69" s="17">
        <v>1.3107149868333489E-5</v>
      </c>
      <c r="K69" s="18">
        <v>5.7820689655172413E-3</v>
      </c>
    </row>
    <row r="70" spans="1:11" x14ac:dyDescent="0.4">
      <c r="A70" s="16">
        <f>'Output - 3 dígitos'!B92</f>
        <v>324</v>
      </c>
      <c r="B70" s="16" t="str">
        <f>'Output - 3 dígitos'!C92</f>
        <v xml:space="preserve"> FabricaciÃ³n de juegos y juguetes</v>
      </c>
      <c r="C70" s="16" t="s">
        <v>46</v>
      </c>
      <c r="D70" s="16">
        <f>'Output - 3 dígitos'!E92</f>
        <v>4662430</v>
      </c>
      <c r="E70" s="16">
        <f>'Output - 3 dígitos'!F92</f>
        <v>59315</v>
      </c>
      <c r="F70" s="16">
        <f>'Output - 3 dígitos'!G92</f>
        <v>1.2721906816831566E-2</v>
      </c>
      <c r="I70" s="16" t="str">
        <v xml:space="preserve"> Terminación y teñido de pieles</v>
      </c>
      <c r="J70" s="17">
        <v>0</v>
      </c>
      <c r="K70" s="18">
        <v>0</v>
      </c>
    </row>
    <row r="71" spans="1:11" x14ac:dyDescent="0.4">
      <c r="A71" s="16">
        <f>'Output - 3 dígitos'!B93</f>
        <v>329</v>
      </c>
      <c r="B71" s="16" t="str">
        <f>'Output - 3 dígitos'!C93</f>
        <v xml:space="preserve"> Industrias manufactureras ncp</v>
      </c>
      <c r="C71" s="16" t="s">
        <v>52</v>
      </c>
      <c r="D71" s="16">
        <f>'Output - 3 dígitos'!E93</f>
        <v>348542911</v>
      </c>
      <c r="E71" s="16">
        <f>'Output - 3 dígitos'!F93</f>
        <v>4724691</v>
      </c>
      <c r="F71" s="16">
        <f>'Output - 3 dígitos'!G93</f>
        <v>1.3555550409688292E-2</v>
      </c>
      <c r="I71" s="16" t="str">
        <v xml:space="preserve"> Fabricación de armas y municiones</v>
      </c>
      <c r="J71" s="17">
        <v>0</v>
      </c>
      <c r="K71" s="18">
        <v>0</v>
      </c>
    </row>
    <row r="72" spans="1:11" x14ac:dyDescent="0.4">
      <c r="D72" s="24"/>
      <c r="E72" s="24"/>
      <c r="F72" s="23"/>
      <c r="I72" s="16">
        <v>0</v>
      </c>
      <c r="J72" s="17">
        <v>0</v>
      </c>
      <c r="K72" s="18">
        <v>0</v>
      </c>
    </row>
    <row r="73" spans="1:11" x14ac:dyDescent="0.4">
      <c r="I73" s="16">
        <v>0</v>
      </c>
      <c r="J73" s="17">
        <v>0</v>
      </c>
      <c r="K73" s="18">
        <v>0</v>
      </c>
    </row>
    <row r="74" spans="1:11" x14ac:dyDescent="0.4">
      <c r="I74" s="16">
        <v>0</v>
      </c>
      <c r="J74" s="17">
        <v>0</v>
      </c>
      <c r="K74" s="18">
        <v>0</v>
      </c>
    </row>
    <row r="75" spans="1:11" x14ac:dyDescent="0.4">
      <c r="I75" s="16">
        <v>0</v>
      </c>
      <c r="J75" s="17">
        <v>0</v>
      </c>
      <c r="K75" s="18">
        <v>0</v>
      </c>
    </row>
    <row r="76" spans="1:11" x14ac:dyDescent="0.4">
      <c r="I76" s="16">
        <v>0</v>
      </c>
      <c r="J76" s="17">
        <v>0</v>
      </c>
      <c r="K76" s="18">
        <v>0</v>
      </c>
    </row>
    <row r="77" spans="1:11" x14ac:dyDescent="0.4">
      <c r="I77" s="16">
        <v>0</v>
      </c>
      <c r="J77" s="17">
        <v>0</v>
      </c>
      <c r="K77" s="18">
        <v>0</v>
      </c>
    </row>
    <row r="78" spans="1:11" x14ac:dyDescent="0.4">
      <c r="I78" s="16">
        <v>0</v>
      </c>
      <c r="J78" s="17">
        <v>0</v>
      </c>
      <c r="K78" s="18">
        <v>0</v>
      </c>
    </row>
    <row r="79" spans="1:11" x14ac:dyDescent="0.4">
      <c r="I79" s="16">
        <v>0</v>
      </c>
      <c r="J79" s="17">
        <v>0</v>
      </c>
      <c r="K79" s="18">
        <v>0</v>
      </c>
    </row>
    <row r="80" spans="1:11" x14ac:dyDescent="0.4">
      <c r="I80" s="16">
        <v>0</v>
      </c>
      <c r="J80" s="17">
        <v>0</v>
      </c>
      <c r="K80" s="18">
        <v>0</v>
      </c>
    </row>
    <row r="81" spans="9:11" x14ac:dyDescent="0.4">
      <c r="I81" s="16">
        <v>0</v>
      </c>
      <c r="J81" s="17">
        <v>0</v>
      </c>
      <c r="K81" s="18">
        <v>0</v>
      </c>
    </row>
    <row r="82" spans="9:11" x14ac:dyDescent="0.4">
      <c r="I82" s="16">
        <v>0</v>
      </c>
      <c r="J82" s="17">
        <v>0</v>
      </c>
      <c r="K82" s="18">
        <v>0</v>
      </c>
    </row>
    <row r="83" spans="9:11" x14ac:dyDescent="0.4">
      <c r="I83" s="16">
        <v>0</v>
      </c>
      <c r="J83" s="17">
        <v>0</v>
      </c>
      <c r="K83" s="18">
        <v>0</v>
      </c>
    </row>
    <row r="84" spans="9:11" x14ac:dyDescent="0.4">
      <c r="I84" s="16">
        <v>0</v>
      </c>
      <c r="J84" s="17">
        <v>0</v>
      </c>
      <c r="K84" s="18">
        <v>0</v>
      </c>
    </row>
    <row r="85" spans="9:11" x14ac:dyDescent="0.4">
      <c r="I85" s="16">
        <v>0</v>
      </c>
      <c r="J85" s="17">
        <v>0</v>
      </c>
      <c r="K85" s="18">
        <v>0</v>
      </c>
    </row>
    <row r="86" spans="9:11" x14ac:dyDescent="0.4">
      <c r="I86" s="16">
        <v>0</v>
      </c>
      <c r="J86" s="17">
        <v>0</v>
      </c>
      <c r="K86" s="18">
        <v>0</v>
      </c>
    </row>
    <row r="87" spans="9:11" x14ac:dyDescent="0.4">
      <c r="I87" s="16">
        <v>0</v>
      </c>
      <c r="J87" s="17">
        <v>0</v>
      </c>
      <c r="K87" s="18">
        <v>0</v>
      </c>
    </row>
    <row r="88" spans="9:11" x14ac:dyDescent="0.4">
      <c r="I88" s="16">
        <v>0</v>
      </c>
      <c r="J88" s="17">
        <v>0</v>
      </c>
      <c r="K88" s="18">
        <v>0</v>
      </c>
    </row>
    <row r="89" spans="9:11" x14ac:dyDescent="0.4">
      <c r="I89" s="16">
        <v>0</v>
      </c>
      <c r="J89" s="17">
        <v>0</v>
      </c>
      <c r="K89" s="18">
        <v>0</v>
      </c>
    </row>
    <row r="90" spans="9:11" x14ac:dyDescent="0.4">
      <c r="I90" s="16">
        <v>0</v>
      </c>
      <c r="J90" s="17">
        <v>0</v>
      </c>
      <c r="K90" s="18">
        <v>0</v>
      </c>
    </row>
    <row r="91" spans="9:11" x14ac:dyDescent="0.4">
      <c r="I91" s="16">
        <v>0</v>
      </c>
      <c r="J91" s="17">
        <v>0</v>
      </c>
      <c r="K91" s="18">
        <v>0</v>
      </c>
    </row>
    <row r="92" spans="9:11" x14ac:dyDescent="0.4">
      <c r="I92" s="16">
        <v>0</v>
      </c>
      <c r="J92" s="17">
        <v>0</v>
      </c>
      <c r="K92" s="18">
        <v>0</v>
      </c>
    </row>
    <row r="93" spans="9:11" x14ac:dyDescent="0.4">
      <c r="I93" s="16">
        <v>0</v>
      </c>
      <c r="J93" s="17">
        <v>0</v>
      </c>
      <c r="K93" s="18">
        <v>0</v>
      </c>
    </row>
    <row r="94" spans="9:11" x14ac:dyDescent="0.4">
      <c r="I94" s="16">
        <v>0</v>
      </c>
      <c r="J94" s="17">
        <v>0</v>
      </c>
      <c r="K94" s="18">
        <v>0</v>
      </c>
    </row>
    <row r="95" spans="9:11" x14ac:dyDescent="0.4">
      <c r="I95" s="16">
        <v>0</v>
      </c>
      <c r="J95" s="17">
        <v>0</v>
      </c>
      <c r="K95" s="18">
        <v>0</v>
      </c>
    </row>
    <row r="96" spans="9:11" x14ac:dyDescent="0.4">
      <c r="I96" s="16">
        <v>0</v>
      </c>
      <c r="J96" s="17">
        <v>0</v>
      </c>
      <c r="K96" s="18">
        <v>0</v>
      </c>
    </row>
    <row r="97" spans="9:11" x14ac:dyDescent="0.4">
      <c r="I97" s="16">
        <v>0</v>
      </c>
      <c r="J97" s="17">
        <v>0</v>
      </c>
      <c r="K97" s="18">
        <v>0</v>
      </c>
    </row>
    <row r="98" spans="9:11" x14ac:dyDescent="0.4">
      <c r="I98" s="16">
        <v>0</v>
      </c>
      <c r="J98" s="17">
        <v>0</v>
      </c>
      <c r="K98" s="18">
        <v>0</v>
      </c>
    </row>
    <row r="99" spans="9:11" x14ac:dyDescent="0.4">
      <c r="I99" s="16">
        <v>0</v>
      </c>
      <c r="J99" s="17">
        <v>0</v>
      </c>
      <c r="K99" s="18">
        <v>0</v>
      </c>
    </row>
    <row r="100" spans="9:11" x14ac:dyDescent="0.4">
      <c r="I100" s="16">
        <v>0</v>
      </c>
      <c r="J100" s="17">
        <v>0</v>
      </c>
      <c r="K100" s="18">
        <v>0</v>
      </c>
    </row>
    <row r="101" spans="9:11" x14ac:dyDescent="0.4">
      <c r="I101" s="16">
        <v>0</v>
      </c>
      <c r="J101" s="17">
        <v>0</v>
      </c>
      <c r="K101" s="18">
        <v>0</v>
      </c>
    </row>
    <row r="102" spans="9:11" x14ac:dyDescent="0.4">
      <c r="I102" s="16">
        <v>0</v>
      </c>
      <c r="J102" s="17">
        <v>0</v>
      </c>
      <c r="K102" s="18">
        <v>0</v>
      </c>
    </row>
    <row r="103" spans="9:11" x14ac:dyDescent="0.4">
      <c r="I103" s="16">
        <v>0</v>
      </c>
      <c r="J103" s="17">
        <v>0</v>
      </c>
      <c r="K103" s="18">
        <v>0</v>
      </c>
    </row>
    <row r="104" spans="9:11" x14ac:dyDescent="0.4">
      <c r="I104" s="16">
        <v>0</v>
      </c>
      <c r="J104" s="17">
        <v>0</v>
      </c>
      <c r="K104" s="18">
        <v>0</v>
      </c>
    </row>
    <row r="105" spans="9:11" x14ac:dyDescent="0.4">
      <c r="I105" s="16">
        <v>0</v>
      </c>
      <c r="J105" s="17">
        <v>0</v>
      </c>
      <c r="K105" s="18">
        <v>0</v>
      </c>
    </row>
    <row r="106" spans="9:11" x14ac:dyDescent="0.4">
      <c r="I106" s="16">
        <v>0</v>
      </c>
      <c r="J106" s="17">
        <v>0</v>
      </c>
      <c r="K106" s="18">
        <v>0</v>
      </c>
    </row>
    <row r="107" spans="9:11" x14ac:dyDescent="0.4">
      <c r="I107" s="16">
        <v>0</v>
      </c>
      <c r="J107" s="17">
        <v>0</v>
      </c>
      <c r="K107" s="18">
        <v>0</v>
      </c>
    </row>
    <row r="108" spans="9:11" x14ac:dyDescent="0.4">
      <c r="I108" s="16">
        <v>0</v>
      </c>
      <c r="J108" s="17">
        <v>0</v>
      </c>
      <c r="K108" s="18">
        <v>0</v>
      </c>
    </row>
    <row r="109" spans="9:11" x14ac:dyDescent="0.4">
      <c r="I109" s="16">
        <v>0</v>
      </c>
      <c r="J109" s="17">
        <v>0</v>
      </c>
      <c r="K109" s="18">
        <v>0</v>
      </c>
    </row>
    <row r="110" spans="9:11" x14ac:dyDescent="0.4">
      <c r="I110" s="16">
        <v>0</v>
      </c>
      <c r="J110" s="17">
        <v>0</v>
      </c>
      <c r="K110" s="18">
        <v>0</v>
      </c>
    </row>
    <row r="111" spans="9:11" x14ac:dyDescent="0.4">
      <c r="I111" s="16">
        <v>0</v>
      </c>
      <c r="J111" s="17">
        <v>0</v>
      </c>
      <c r="K111" s="18">
        <v>0</v>
      </c>
    </row>
    <row r="112" spans="9:11" x14ac:dyDescent="0.4">
      <c r="I112" s="16">
        <v>0</v>
      </c>
      <c r="J112" s="17">
        <v>0</v>
      </c>
      <c r="K112" s="18">
        <v>0</v>
      </c>
    </row>
    <row r="113" spans="9:11" x14ac:dyDescent="0.4">
      <c r="I113" s="16">
        <v>0</v>
      </c>
      <c r="J113" s="17">
        <v>0</v>
      </c>
      <c r="K113" s="18">
        <v>0</v>
      </c>
    </row>
    <row r="114" spans="9:11" x14ac:dyDescent="0.4">
      <c r="I114" s="16">
        <v>0</v>
      </c>
      <c r="J114" s="17">
        <v>0</v>
      </c>
      <c r="K114" s="18">
        <v>0</v>
      </c>
    </row>
    <row r="115" spans="9:11" x14ac:dyDescent="0.4">
      <c r="I115" s="16">
        <v>0</v>
      </c>
      <c r="J115" s="17">
        <v>0</v>
      </c>
      <c r="K115" s="18">
        <v>0</v>
      </c>
    </row>
    <row r="116" spans="9:11" x14ac:dyDescent="0.4">
      <c r="I116" s="16">
        <v>0</v>
      </c>
      <c r="J116" s="17">
        <v>0</v>
      </c>
      <c r="K116" s="18">
        <v>0</v>
      </c>
    </row>
    <row r="117" spans="9:11" x14ac:dyDescent="0.4">
      <c r="I117" s="16">
        <v>0</v>
      </c>
      <c r="J117" s="17">
        <v>0</v>
      </c>
      <c r="K117" s="18">
        <v>0</v>
      </c>
    </row>
    <row r="118" spans="9:11" x14ac:dyDescent="0.4">
      <c r="I118" s="16">
        <v>0</v>
      </c>
      <c r="J118" s="17">
        <v>0</v>
      </c>
      <c r="K118" s="18">
        <v>0</v>
      </c>
    </row>
    <row r="119" spans="9:11" x14ac:dyDescent="0.4">
      <c r="I119" s="16">
        <v>0</v>
      </c>
      <c r="J119" s="17">
        <v>0</v>
      </c>
      <c r="K119" s="18">
        <v>0</v>
      </c>
    </row>
    <row r="120" spans="9:11" x14ac:dyDescent="0.4">
      <c r="I120" s="16">
        <v>0</v>
      </c>
      <c r="J120" s="17">
        <v>0</v>
      </c>
      <c r="K120" s="18">
        <v>0</v>
      </c>
    </row>
    <row r="121" spans="9:11" x14ac:dyDescent="0.4">
      <c r="I121" s="16">
        <v>0</v>
      </c>
      <c r="J121" s="17">
        <v>0</v>
      </c>
      <c r="K121" s="18">
        <v>0</v>
      </c>
    </row>
    <row r="122" spans="9:11" x14ac:dyDescent="0.4">
      <c r="I122" s="16">
        <v>0</v>
      </c>
      <c r="J122" s="17">
        <v>0</v>
      </c>
      <c r="K122" s="18">
        <v>0</v>
      </c>
    </row>
    <row r="123" spans="9:11" x14ac:dyDescent="0.4">
      <c r="I123" s="16">
        <v>0</v>
      </c>
      <c r="J123" s="17">
        <v>0</v>
      </c>
      <c r="K123" s="18">
        <v>0</v>
      </c>
    </row>
    <row r="124" spans="9:11" x14ac:dyDescent="0.4">
      <c r="I124" s="16">
        <v>0</v>
      </c>
      <c r="J124" s="17">
        <v>0</v>
      </c>
      <c r="K124" s="18">
        <v>0</v>
      </c>
    </row>
    <row r="125" spans="9:11" x14ac:dyDescent="0.4">
      <c r="I125" s="16">
        <v>0</v>
      </c>
      <c r="J125" s="17">
        <v>0</v>
      </c>
      <c r="K125" s="18">
        <v>0</v>
      </c>
    </row>
    <row r="126" spans="9:11" x14ac:dyDescent="0.4">
      <c r="I126" s="16">
        <v>0</v>
      </c>
      <c r="J126" s="17">
        <v>0</v>
      </c>
      <c r="K126" s="18">
        <v>0</v>
      </c>
    </row>
    <row r="127" spans="9:11" x14ac:dyDescent="0.4">
      <c r="I127" s="16">
        <v>0</v>
      </c>
      <c r="J127" s="17">
        <v>0</v>
      </c>
      <c r="K127" s="18">
        <v>0</v>
      </c>
    </row>
    <row r="128" spans="9:11" x14ac:dyDescent="0.4">
      <c r="I128" s="16">
        <v>0</v>
      </c>
      <c r="J128" s="17">
        <v>0</v>
      </c>
      <c r="K128" s="18">
        <v>0</v>
      </c>
    </row>
    <row r="129" spans="9:11" x14ac:dyDescent="0.4">
      <c r="I129" s="16">
        <v>0</v>
      </c>
      <c r="J129" s="17">
        <v>0</v>
      </c>
      <c r="K129" s="18">
        <v>0</v>
      </c>
    </row>
    <row r="130" spans="9:11" x14ac:dyDescent="0.4">
      <c r="I130" s="16">
        <v>0</v>
      </c>
      <c r="J130" s="17">
        <v>0</v>
      </c>
      <c r="K130" s="18">
        <v>0</v>
      </c>
    </row>
    <row r="131" spans="9:11" x14ac:dyDescent="0.4">
      <c r="I131" s="16">
        <v>0</v>
      </c>
      <c r="J131" s="17">
        <v>0</v>
      </c>
      <c r="K131" s="18">
        <v>0</v>
      </c>
    </row>
    <row r="132" spans="9:11" x14ac:dyDescent="0.4">
      <c r="I132" s="16">
        <v>0</v>
      </c>
      <c r="J132" s="17">
        <v>0</v>
      </c>
      <c r="K132" s="18">
        <v>0</v>
      </c>
    </row>
    <row r="133" spans="9:11" x14ac:dyDescent="0.4">
      <c r="I133" s="16">
        <v>0</v>
      </c>
      <c r="J133" s="17">
        <v>0</v>
      </c>
      <c r="K133" s="18">
        <v>0</v>
      </c>
    </row>
    <row r="134" spans="9:11" x14ac:dyDescent="0.4">
      <c r="I134" s="16">
        <v>0</v>
      </c>
      <c r="J134" s="17">
        <v>0</v>
      </c>
      <c r="K134" s="18">
        <v>0</v>
      </c>
    </row>
    <row r="135" spans="9:11" x14ac:dyDescent="0.4">
      <c r="I135" s="16">
        <v>0</v>
      </c>
      <c r="J135" s="17">
        <v>0</v>
      </c>
      <c r="K135" s="18">
        <v>0</v>
      </c>
    </row>
    <row r="136" spans="9:11" x14ac:dyDescent="0.4">
      <c r="I136" s="16">
        <v>0</v>
      </c>
      <c r="J136" s="17">
        <v>0</v>
      </c>
      <c r="K136" s="18">
        <v>0</v>
      </c>
    </row>
    <row r="137" spans="9:11" x14ac:dyDescent="0.4">
      <c r="I137" s="16">
        <v>0</v>
      </c>
      <c r="J137" s="17">
        <v>0</v>
      </c>
      <c r="K137" s="18">
        <v>0</v>
      </c>
    </row>
    <row r="138" spans="9:11" x14ac:dyDescent="0.4">
      <c r="I138" s="16">
        <v>0</v>
      </c>
      <c r="J138" s="17">
        <v>0</v>
      </c>
      <c r="K138" s="18">
        <v>0</v>
      </c>
    </row>
    <row r="139" spans="9:11" x14ac:dyDescent="0.4">
      <c r="I139" s="16">
        <v>0</v>
      </c>
      <c r="J139" s="17">
        <v>0</v>
      </c>
      <c r="K139" s="18">
        <v>0</v>
      </c>
    </row>
    <row r="140" spans="9:11" x14ac:dyDescent="0.4">
      <c r="I140" s="16">
        <v>0</v>
      </c>
      <c r="J140" s="17">
        <v>0</v>
      </c>
      <c r="K140" s="18">
        <v>0</v>
      </c>
    </row>
    <row r="141" spans="9:11" x14ac:dyDescent="0.4">
      <c r="I141" s="16">
        <v>0</v>
      </c>
      <c r="J141" s="17">
        <v>0</v>
      </c>
      <c r="K141" s="18">
        <v>0</v>
      </c>
    </row>
    <row r="142" spans="9:11" x14ac:dyDescent="0.4">
      <c r="I142" s="16">
        <v>0</v>
      </c>
      <c r="J142" s="17">
        <v>0</v>
      </c>
      <c r="K142" s="18">
        <v>0</v>
      </c>
    </row>
    <row r="143" spans="9:11" x14ac:dyDescent="0.4">
      <c r="I143" s="16">
        <v>0</v>
      </c>
      <c r="J143" s="17">
        <v>0</v>
      </c>
      <c r="K143" s="18">
        <v>0</v>
      </c>
    </row>
    <row r="144" spans="9:11" x14ac:dyDescent="0.4">
      <c r="I144" s="16">
        <v>0</v>
      </c>
      <c r="J144" s="17">
        <v>0</v>
      </c>
      <c r="K144" s="18">
        <v>0</v>
      </c>
    </row>
    <row r="145" spans="9:11" x14ac:dyDescent="0.4">
      <c r="I145" s="16">
        <v>0</v>
      </c>
      <c r="J145" s="17">
        <v>0</v>
      </c>
      <c r="K145" s="18">
        <v>0</v>
      </c>
    </row>
    <row r="146" spans="9:11" x14ac:dyDescent="0.4">
      <c r="I146" s="16">
        <v>0</v>
      </c>
      <c r="J146" s="17">
        <v>0</v>
      </c>
      <c r="K146" s="18">
        <v>0</v>
      </c>
    </row>
    <row r="147" spans="9:11" x14ac:dyDescent="0.4">
      <c r="I147" s="16">
        <v>0</v>
      </c>
      <c r="J147" s="17">
        <v>0</v>
      </c>
      <c r="K147" s="18">
        <v>0</v>
      </c>
    </row>
    <row r="148" spans="9:11" x14ac:dyDescent="0.4">
      <c r="I148" s="16">
        <v>0</v>
      </c>
      <c r="J148" s="17">
        <v>0</v>
      </c>
      <c r="K148" s="18">
        <v>0</v>
      </c>
    </row>
    <row r="149" spans="9:11" x14ac:dyDescent="0.4">
      <c r="I149" s="16">
        <v>0</v>
      </c>
      <c r="J149" s="17">
        <v>0</v>
      </c>
      <c r="K149" s="18">
        <v>0</v>
      </c>
    </row>
    <row r="150" spans="9:11" x14ac:dyDescent="0.4">
      <c r="I150" s="16">
        <v>0</v>
      </c>
      <c r="J150" s="17">
        <v>0</v>
      </c>
      <c r="K150" s="18">
        <v>0</v>
      </c>
    </row>
    <row r="151" spans="9:11" x14ac:dyDescent="0.4">
      <c r="I151" s="16">
        <v>0</v>
      </c>
      <c r="J151" s="17">
        <v>0</v>
      </c>
      <c r="K151" s="18">
        <v>0</v>
      </c>
    </row>
    <row r="152" spans="9:11" x14ac:dyDescent="0.4">
      <c r="I152" s="16">
        <v>0</v>
      </c>
      <c r="J152" s="17">
        <v>0</v>
      </c>
      <c r="K152" s="18">
        <v>0</v>
      </c>
    </row>
    <row r="153" spans="9:11" x14ac:dyDescent="0.4">
      <c r="I153" s="16">
        <v>0</v>
      </c>
      <c r="J153" s="17">
        <v>0</v>
      </c>
      <c r="K153" s="18">
        <v>0</v>
      </c>
    </row>
    <row r="154" spans="9:11" x14ac:dyDescent="0.4">
      <c r="I154" s="16">
        <v>0</v>
      </c>
      <c r="J154" s="17">
        <v>0</v>
      </c>
      <c r="K154" s="18">
        <v>0</v>
      </c>
    </row>
    <row r="155" spans="9:11" x14ac:dyDescent="0.4">
      <c r="I155" s="16">
        <v>0</v>
      </c>
      <c r="J155" s="17">
        <v>0</v>
      </c>
      <c r="K155" s="18">
        <v>0</v>
      </c>
    </row>
    <row r="156" spans="9:11" x14ac:dyDescent="0.4">
      <c r="I156" s="16">
        <v>0</v>
      </c>
      <c r="J156" s="17">
        <v>0</v>
      </c>
      <c r="K156" s="18">
        <v>0</v>
      </c>
    </row>
    <row r="157" spans="9:11" x14ac:dyDescent="0.4">
      <c r="I157" s="16">
        <v>0</v>
      </c>
      <c r="J157" s="17">
        <v>0</v>
      </c>
      <c r="K157" s="18">
        <v>0</v>
      </c>
    </row>
    <row r="158" spans="9:11" x14ac:dyDescent="0.4">
      <c r="I158" s="16">
        <v>0</v>
      </c>
      <c r="J158" s="17">
        <v>0</v>
      </c>
      <c r="K158" s="18">
        <v>0</v>
      </c>
    </row>
    <row r="159" spans="9:11" x14ac:dyDescent="0.4">
      <c r="I159" s="16">
        <v>0</v>
      </c>
      <c r="J159" s="17">
        <v>0</v>
      </c>
      <c r="K159" s="18">
        <v>0</v>
      </c>
    </row>
    <row r="160" spans="9:11" x14ac:dyDescent="0.4">
      <c r="I160" s="16">
        <v>0</v>
      </c>
      <c r="J160" s="17">
        <v>0</v>
      </c>
      <c r="K160" s="18">
        <v>0</v>
      </c>
    </row>
    <row r="161" spans="9:11" x14ac:dyDescent="0.4">
      <c r="I161" s="16">
        <v>0</v>
      </c>
      <c r="J161" s="17">
        <v>0</v>
      </c>
      <c r="K161" s="18">
        <v>0</v>
      </c>
    </row>
    <row r="162" spans="9:11" x14ac:dyDescent="0.4">
      <c r="I162" s="16">
        <v>0</v>
      </c>
      <c r="J162" s="17">
        <v>0</v>
      </c>
      <c r="K162" s="18">
        <v>0</v>
      </c>
    </row>
    <row r="163" spans="9:11" x14ac:dyDescent="0.4">
      <c r="I163" s="16">
        <v>0</v>
      </c>
      <c r="J163" s="17">
        <v>0</v>
      </c>
      <c r="K163" s="18">
        <v>0</v>
      </c>
    </row>
    <row r="164" spans="9:11" x14ac:dyDescent="0.4">
      <c r="I164" s="16">
        <v>0</v>
      </c>
      <c r="J164" s="17">
        <v>0</v>
      </c>
      <c r="K164" s="18">
        <v>0</v>
      </c>
    </row>
    <row r="165" spans="9:11" x14ac:dyDescent="0.4">
      <c r="I165" s="16">
        <v>0</v>
      </c>
      <c r="J165" s="17">
        <v>0</v>
      </c>
      <c r="K165" s="18">
        <v>0</v>
      </c>
    </row>
    <row r="166" spans="9:11" x14ac:dyDescent="0.4">
      <c r="I166" s="16">
        <v>0</v>
      </c>
      <c r="J166" s="17">
        <v>0</v>
      </c>
      <c r="K166" s="18">
        <v>0</v>
      </c>
    </row>
    <row r="167" spans="9:11" x14ac:dyDescent="0.4">
      <c r="I167" s="16">
        <v>0</v>
      </c>
      <c r="J167" s="17">
        <v>0</v>
      </c>
      <c r="K167" s="18">
        <v>0</v>
      </c>
    </row>
    <row r="168" spans="9:11" x14ac:dyDescent="0.4">
      <c r="I168" s="16">
        <v>0</v>
      </c>
      <c r="J168" s="17">
        <v>0</v>
      </c>
      <c r="K168" s="18">
        <v>0</v>
      </c>
    </row>
    <row r="169" spans="9:11" x14ac:dyDescent="0.4">
      <c r="I169" s="16">
        <v>0</v>
      </c>
      <c r="J169" s="17">
        <v>0</v>
      </c>
      <c r="K169" s="18">
        <v>0</v>
      </c>
    </row>
    <row r="170" spans="9:11" x14ac:dyDescent="0.4">
      <c r="I170" s="16">
        <v>0</v>
      </c>
      <c r="J170" s="17">
        <v>0</v>
      </c>
      <c r="K170" s="18">
        <v>0</v>
      </c>
    </row>
    <row r="171" spans="9:11" x14ac:dyDescent="0.4">
      <c r="I171" s="16">
        <v>0</v>
      </c>
      <c r="J171" s="17">
        <v>0</v>
      </c>
      <c r="K171" s="18">
        <v>0</v>
      </c>
    </row>
    <row r="172" spans="9:11" x14ac:dyDescent="0.4">
      <c r="I172" s="16">
        <v>0</v>
      </c>
      <c r="J172" s="17">
        <v>0</v>
      </c>
      <c r="K172" s="18">
        <v>0</v>
      </c>
    </row>
    <row r="173" spans="9:11" x14ac:dyDescent="0.4">
      <c r="I173" s="16">
        <v>0</v>
      </c>
      <c r="J173" s="17">
        <v>0</v>
      </c>
      <c r="K173" s="18">
        <v>0</v>
      </c>
    </row>
    <row r="174" spans="9:11" x14ac:dyDescent="0.4">
      <c r="I174" s="16">
        <v>0</v>
      </c>
      <c r="J174" s="17">
        <v>0</v>
      </c>
      <c r="K174" s="18">
        <v>0</v>
      </c>
    </row>
    <row r="175" spans="9:11" x14ac:dyDescent="0.4">
      <c r="I175" s="16">
        <v>0</v>
      </c>
      <c r="J175" s="17">
        <v>0</v>
      </c>
      <c r="K175" s="18">
        <v>0</v>
      </c>
    </row>
    <row r="176" spans="9:11" x14ac:dyDescent="0.4">
      <c r="I176" s="16">
        <v>0</v>
      </c>
      <c r="J176" s="17">
        <v>0</v>
      </c>
      <c r="K176" s="18">
        <v>0</v>
      </c>
    </row>
    <row r="177" spans="9:11" x14ac:dyDescent="0.4">
      <c r="I177" s="16">
        <v>0</v>
      </c>
      <c r="J177" s="17">
        <v>0</v>
      </c>
      <c r="K177" s="18">
        <v>0</v>
      </c>
    </row>
    <row r="178" spans="9:11" x14ac:dyDescent="0.4">
      <c r="I178" s="16">
        <v>0</v>
      </c>
      <c r="J178" s="17">
        <v>0</v>
      </c>
      <c r="K178" s="18">
        <v>0</v>
      </c>
    </row>
    <row r="179" spans="9:11" x14ac:dyDescent="0.4">
      <c r="I179" s="16">
        <v>0</v>
      </c>
      <c r="J179" s="17">
        <v>0</v>
      </c>
      <c r="K179" s="18">
        <v>0</v>
      </c>
    </row>
    <row r="180" spans="9:11" x14ac:dyDescent="0.4">
      <c r="I180" s="16">
        <v>0</v>
      </c>
      <c r="J180" s="17">
        <v>0</v>
      </c>
      <c r="K180" s="18">
        <v>0</v>
      </c>
    </row>
    <row r="181" spans="9:11" x14ac:dyDescent="0.4">
      <c r="I181" s="16">
        <v>0</v>
      </c>
      <c r="J181" s="17">
        <v>0</v>
      </c>
      <c r="K181" s="18">
        <v>0</v>
      </c>
    </row>
    <row r="182" spans="9:11" x14ac:dyDescent="0.4">
      <c r="I182" s="16">
        <v>0</v>
      </c>
      <c r="J182" s="17">
        <v>0</v>
      </c>
      <c r="K182" s="18">
        <v>0</v>
      </c>
    </row>
    <row r="183" spans="9:11" x14ac:dyDescent="0.4">
      <c r="I183" s="16">
        <v>0</v>
      </c>
      <c r="J183" s="17">
        <v>0</v>
      </c>
      <c r="K183" s="18">
        <v>0</v>
      </c>
    </row>
    <row r="184" spans="9:11" x14ac:dyDescent="0.4">
      <c r="I184" s="16">
        <v>0</v>
      </c>
      <c r="J184" s="17">
        <v>0</v>
      </c>
      <c r="K184" s="18">
        <v>0</v>
      </c>
    </row>
    <row r="185" spans="9:11" x14ac:dyDescent="0.4">
      <c r="I185" s="16">
        <v>0</v>
      </c>
      <c r="J185" s="17">
        <v>0</v>
      </c>
      <c r="K185" s="18">
        <v>0</v>
      </c>
    </row>
    <row r="186" spans="9:11" x14ac:dyDescent="0.4">
      <c r="I186" s="16">
        <v>0</v>
      </c>
      <c r="J186" s="17">
        <v>0</v>
      </c>
      <c r="K186" s="18">
        <v>0</v>
      </c>
    </row>
    <row r="187" spans="9:11" x14ac:dyDescent="0.4">
      <c r="I187" s="16">
        <v>0</v>
      </c>
      <c r="J187" s="17">
        <v>0</v>
      </c>
      <c r="K187" s="18">
        <v>0</v>
      </c>
    </row>
    <row r="188" spans="9:11" x14ac:dyDescent="0.4">
      <c r="I188" s="16">
        <v>0</v>
      </c>
      <c r="J188" s="17">
        <v>0</v>
      </c>
      <c r="K188" s="18">
        <v>0</v>
      </c>
    </row>
    <row r="189" spans="9:11" x14ac:dyDescent="0.4">
      <c r="I189" s="16">
        <v>0</v>
      </c>
      <c r="J189" s="17">
        <v>0</v>
      </c>
      <c r="K189" s="18">
        <v>0</v>
      </c>
    </row>
    <row r="190" spans="9:11" x14ac:dyDescent="0.4">
      <c r="I190" s="16">
        <v>0</v>
      </c>
      <c r="J190" s="17">
        <v>0</v>
      </c>
      <c r="K190" s="18">
        <v>0</v>
      </c>
    </row>
    <row r="191" spans="9:11" x14ac:dyDescent="0.4">
      <c r="I191" s="16">
        <v>0</v>
      </c>
      <c r="J191" s="17">
        <v>0</v>
      </c>
      <c r="K191" s="18">
        <v>0</v>
      </c>
    </row>
    <row r="192" spans="9:11" x14ac:dyDescent="0.4">
      <c r="I192" s="16">
        <v>0</v>
      </c>
      <c r="J192" s="17">
        <v>0</v>
      </c>
      <c r="K192" s="18">
        <v>0</v>
      </c>
    </row>
    <row r="193" spans="9:11" x14ac:dyDescent="0.4">
      <c r="I193" s="16">
        <v>0</v>
      </c>
      <c r="J193" s="17">
        <v>0</v>
      </c>
      <c r="K193" s="18">
        <v>0</v>
      </c>
    </row>
    <row r="194" spans="9:11" x14ac:dyDescent="0.4">
      <c r="I194" s="16">
        <v>0</v>
      </c>
      <c r="J194" s="17">
        <v>0</v>
      </c>
      <c r="K194" s="18">
        <v>0</v>
      </c>
    </row>
    <row r="195" spans="9:11" x14ac:dyDescent="0.4">
      <c r="I195" s="16">
        <v>0</v>
      </c>
      <c r="J195" s="17">
        <v>0</v>
      </c>
      <c r="K195" s="18">
        <v>0</v>
      </c>
    </row>
    <row r="196" spans="9:11" x14ac:dyDescent="0.4">
      <c r="I196" s="16">
        <v>0</v>
      </c>
      <c r="J196" s="17">
        <v>0</v>
      </c>
      <c r="K196" s="18">
        <v>0</v>
      </c>
    </row>
    <row r="197" spans="9:11" x14ac:dyDescent="0.4">
      <c r="I197" s="16">
        <v>0</v>
      </c>
      <c r="J197" s="17">
        <v>0</v>
      </c>
      <c r="K197" s="18">
        <v>0</v>
      </c>
    </row>
    <row r="198" spans="9:11" x14ac:dyDescent="0.4">
      <c r="I198" s="16">
        <v>0</v>
      </c>
      <c r="J198" s="17">
        <v>0</v>
      </c>
      <c r="K198" s="18">
        <v>0</v>
      </c>
    </row>
    <row r="199" spans="9:11" x14ac:dyDescent="0.4">
      <c r="I199" s="16">
        <v>0</v>
      </c>
      <c r="J199" s="17">
        <v>0</v>
      </c>
      <c r="K199" s="18">
        <v>0</v>
      </c>
    </row>
    <row r="200" spans="9:11" x14ac:dyDescent="0.4">
      <c r="I200" s="16">
        <v>0</v>
      </c>
      <c r="J200" s="17">
        <v>0</v>
      </c>
      <c r="K200" s="18">
        <v>0</v>
      </c>
    </row>
    <row r="201" spans="9:11" x14ac:dyDescent="0.4">
      <c r="I201" s="16">
        <v>0</v>
      </c>
      <c r="J201" s="17">
        <v>0</v>
      </c>
      <c r="K201" s="18">
        <v>0</v>
      </c>
    </row>
    <row r="202" spans="9:11" x14ac:dyDescent="0.4">
      <c r="I202" s="16">
        <v>0</v>
      </c>
      <c r="J202" s="17">
        <v>0</v>
      </c>
      <c r="K202" s="18">
        <v>0</v>
      </c>
    </row>
    <row r="203" spans="9:11" x14ac:dyDescent="0.4">
      <c r="I203" s="16">
        <v>0</v>
      </c>
      <c r="J203" s="17">
        <v>0</v>
      </c>
      <c r="K203" s="18">
        <v>0</v>
      </c>
    </row>
    <row r="204" spans="9:11" x14ac:dyDescent="0.4">
      <c r="I204" s="16">
        <v>0</v>
      </c>
      <c r="J204" s="17">
        <v>0</v>
      </c>
      <c r="K204" s="18">
        <v>0</v>
      </c>
    </row>
    <row r="205" spans="9:11" x14ac:dyDescent="0.4">
      <c r="I205" s="16">
        <v>0</v>
      </c>
      <c r="J205" s="17">
        <v>0</v>
      </c>
      <c r="K205" s="18">
        <v>0</v>
      </c>
    </row>
    <row r="206" spans="9:11" x14ac:dyDescent="0.4">
      <c r="I206" s="16">
        <v>0</v>
      </c>
      <c r="J206" s="17">
        <v>0</v>
      </c>
      <c r="K206" s="18">
        <v>0</v>
      </c>
    </row>
    <row r="207" spans="9:11" x14ac:dyDescent="0.4">
      <c r="I207" s="16">
        <v>0</v>
      </c>
      <c r="J207" s="17">
        <v>0</v>
      </c>
      <c r="K207" s="18">
        <v>0</v>
      </c>
    </row>
    <row r="208" spans="9:11" x14ac:dyDescent="0.4">
      <c r="I208" s="16">
        <v>0</v>
      </c>
      <c r="J208" s="17">
        <v>0</v>
      </c>
      <c r="K208" s="18">
        <v>0</v>
      </c>
    </row>
    <row r="209" spans="9:11" x14ac:dyDescent="0.4">
      <c r="I209" s="16">
        <v>0</v>
      </c>
      <c r="J209" s="17">
        <v>0</v>
      </c>
      <c r="K209" s="18">
        <v>0</v>
      </c>
    </row>
    <row r="210" spans="9:11" x14ac:dyDescent="0.4">
      <c r="I210" s="16">
        <v>0</v>
      </c>
      <c r="J210" s="17">
        <v>0</v>
      </c>
      <c r="K210" s="18">
        <v>0</v>
      </c>
    </row>
    <row r="211" spans="9:11" x14ac:dyDescent="0.4">
      <c r="I211" s="16">
        <v>0</v>
      </c>
      <c r="J211" s="17">
        <v>0</v>
      </c>
      <c r="K211" s="18">
        <v>0</v>
      </c>
    </row>
    <row r="212" spans="9:11" x14ac:dyDescent="0.4">
      <c r="I212" s="16">
        <v>0</v>
      </c>
      <c r="J212" s="17">
        <v>0</v>
      </c>
      <c r="K212" s="18">
        <v>0</v>
      </c>
    </row>
    <row r="213" spans="9:11" x14ac:dyDescent="0.4">
      <c r="I213" s="16">
        <v>0</v>
      </c>
      <c r="J213" s="17">
        <v>0</v>
      </c>
      <c r="K213" s="18">
        <v>0</v>
      </c>
    </row>
    <row r="214" spans="9:11" x14ac:dyDescent="0.4">
      <c r="I214" s="16">
        <v>0</v>
      </c>
      <c r="J214" s="17">
        <v>0</v>
      </c>
      <c r="K214" s="18">
        <v>0</v>
      </c>
    </row>
    <row r="215" spans="9:11" x14ac:dyDescent="0.4">
      <c r="I215" s="16">
        <v>0</v>
      </c>
      <c r="J215" s="17">
        <v>0</v>
      </c>
      <c r="K215" s="18">
        <v>0</v>
      </c>
    </row>
    <row r="216" spans="9:11" x14ac:dyDescent="0.4">
      <c r="I216" s="16">
        <v>0</v>
      </c>
      <c r="J216" s="17">
        <v>0</v>
      </c>
      <c r="K216" s="18">
        <v>0</v>
      </c>
    </row>
    <row r="217" spans="9:11" x14ac:dyDescent="0.4">
      <c r="I217" s="16">
        <v>0</v>
      </c>
      <c r="J217" s="17">
        <v>0</v>
      </c>
      <c r="K217" s="18">
        <v>0</v>
      </c>
    </row>
    <row r="218" spans="9:11" x14ac:dyDescent="0.4">
      <c r="I218" s="16">
        <v>0</v>
      </c>
      <c r="J218" s="17">
        <v>0</v>
      </c>
      <c r="K218" s="18">
        <v>0</v>
      </c>
    </row>
    <row r="219" spans="9:11" x14ac:dyDescent="0.4">
      <c r="I219" s="16">
        <v>0</v>
      </c>
      <c r="J219" s="17">
        <v>0</v>
      </c>
      <c r="K219" s="18">
        <v>0</v>
      </c>
    </row>
    <row r="220" spans="9:11" x14ac:dyDescent="0.4">
      <c r="I220" s="16">
        <v>0</v>
      </c>
      <c r="J220" s="17">
        <v>0</v>
      </c>
      <c r="K220" s="18">
        <v>0</v>
      </c>
    </row>
    <row r="221" spans="9:11" x14ac:dyDescent="0.4">
      <c r="I221" s="16">
        <v>0</v>
      </c>
      <c r="J221" s="17">
        <v>0</v>
      </c>
      <c r="K221" s="18">
        <v>0</v>
      </c>
    </row>
    <row r="222" spans="9:11" x14ac:dyDescent="0.4">
      <c r="I222" s="16">
        <v>0</v>
      </c>
      <c r="J222" s="17">
        <v>0</v>
      </c>
      <c r="K222" s="18">
        <v>0</v>
      </c>
    </row>
    <row r="223" spans="9:11" x14ac:dyDescent="0.4">
      <c r="I223" s="16">
        <v>0</v>
      </c>
      <c r="J223" s="17">
        <v>0</v>
      </c>
      <c r="K223" s="18">
        <v>0</v>
      </c>
    </row>
    <row r="224" spans="9:11" x14ac:dyDescent="0.4">
      <c r="I224" s="16">
        <v>0</v>
      </c>
      <c r="J224" s="17">
        <v>0</v>
      </c>
      <c r="K224" s="18">
        <v>0</v>
      </c>
    </row>
    <row r="225" spans="9:11" x14ac:dyDescent="0.4">
      <c r="I225" s="16">
        <v>0</v>
      </c>
      <c r="J225" s="17">
        <v>0</v>
      </c>
      <c r="K225" s="18">
        <v>0</v>
      </c>
    </row>
    <row r="226" spans="9:11" x14ac:dyDescent="0.4">
      <c r="I226" s="16">
        <v>0</v>
      </c>
      <c r="J226" s="17">
        <v>0</v>
      </c>
      <c r="K226" s="18">
        <v>0</v>
      </c>
    </row>
    <row r="227" spans="9:11" x14ac:dyDescent="0.4">
      <c r="I227" s="16">
        <v>0</v>
      </c>
      <c r="J227" s="17">
        <v>0</v>
      </c>
      <c r="K227" s="18">
        <v>0</v>
      </c>
    </row>
    <row r="228" spans="9:11" x14ac:dyDescent="0.4">
      <c r="J228" s="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3850-14A9-440C-9EF6-9D8F7A67729E}">
  <dimension ref="A1:D224"/>
  <sheetViews>
    <sheetView topLeftCell="A214" zoomScale="90" zoomScaleNormal="90" workbookViewId="0">
      <selection activeCell="D224" sqref="D2:D224"/>
    </sheetView>
  </sheetViews>
  <sheetFormatPr baseColWidth="10" defaultRowHeight="15" customHeight="1" x14ac:dyDescent="0.4"/>
  <cols>
    <col min="1" max="1" width="10.90625" style="7"/>
    <col min="2" max="2" width="10.90625" style="30"/>
    <col min="3" max="3" width="37.7265625" style="7" customWidth="1"/>
    <col min="4" max="4" width="67.36328125" style="29" bestFit="1" customWidth="1"/>
    <col min="5" max="16384" width="10.90625" style="7"/>
  </cols>
  <sheetData>
    <row r="1" spans="1:4" ht="15" customHeight="1" x14ac:dyDescent="0.4">
      <c r="C1" s="25" t="s">
        <v>300</v>
      </c>
      <c r="D1" s="25" t="s">
        <v>301</v>
      </c>
    </row>
    <row r="2" spans="1:4" ht="15" customHeight="1" x14ac:dyDescent="0.4">
      <c r="A2" s="7" t="s">
        <v>753</v>
      </c>
      <c r="B2" s="30" t="str">
        <f>LEFT(C2,3)</f>
        <v>011</v>
      </c>
      <c r="C2" s="26" t="s">
        <v>302</v>
      </c>
      <c r="D2" s="27" t="s">
        <v>303</v>
      </c>
    </row>
    <row r="3" spans="1:4" ht="15" customHeight="1" x14ac:dyDescent="0.4">
      <c r="A3" s="7" t="s">
        <v>754</v>
      </c>
      <c r="B3" s="30" t="str">
        <f t="shared" ref="B3:B66" si="0">LEFT(C3,3)</f>
        <v>012</v>
      </c>
      <c r="C3" s="26" t="s">
        <v>304</v>
      </c>
      <c r="D3" s="27" t="s">
        <v>303</v>
      </c>
    </row>
    <row r="4" spans="1:4" ht="15" customHeight="1" x14ac:dyDescent="0.4">
      <c r="A4" s="7" t="s">
        <v>755</v>
      </c>
      <c r="B4" s="30" t="str">
        <f t="shared" si="0"/>
        <v>013</v>
      </c>
      <c r="C4" s="26" t="s">
        <v>305</v>
      </c>
      <c r="D4" s="27" t="s">
        <v>303</v>
      </c>
    </row>
    <row r="5" spans="1:4" ht="15" customHeight="1" x14ac:dyDescent="0.4">
      <c r="A5" s="7" t="s">
        <v>756</v>
      </c>
      <c r="B5" s="30" t="str">
        <f t="shared" si="0"/>
        <v>014</v>
      </c>
      <c r="C5" s="26" t="s">
        <v>306</v>
      </c>
      <c r="D5" s="27" t="s">
        <v>303</v>
      </c>
    </row>
    <row r="6" spans="1:4" ht="15" customHeight="1" x14ac:dyDescent="0.4">
      <c r="A6" s="7" t="s">
        <v>757</v>
      </c>
      <c r="B6" s="30" t="str">
        <f t="shared" si="0"/>
        <v>016</v>
      </c>
      <c r="C6" s="26" t="s">
        <v>307</v>
      </c>
      <c r="D6" s="27" t="s">
        <v>303</v>
      </c>
    </row>
    <row r="7" spans="1:4" ht="15" customHeight="1" x14ac:dyDescent="0.4">
      <c r="A7" s="7" t="s">
        <v>758</v>
      </c>
      <c r="B7" s="30" t="str">
        <f t="shared" si="0"/>
        <v>017</v>
      </c>
      <c r="C7" s="26" t="s">
        <v>308</v>
      </c>
      <c r="D7" s="27" t="s">
        <v>303</v>
      </c>
    </row>
    <row r="8" spans="1:4" ht="15" customHeight="1" x14ac:dyDescent="0.4">
      <c r="A8" s="7" t="s">
        <v>759</v>
      </c>
      <c r="B8" s="30" t="str">
        <f t="shared" si="0"/>
        <v>021</v>
      </c>
      <c r="C8" s="26" t="s">
        <v>309</v>
      </c>
      <c r="D8" s="27" t="s">
        <v>303</v>
      </c>
    </row>
    <row r="9" spans="1:4" ht="15" customHeight="1" x14ac:dyDescent="0.4">
      <c r="A9" s="7" t="s">
        <v>760</v>
      </c>
      <c r="B9" s="30" t="str">
        <f t="shared" si="0"/>
        <v>022</v>
      </c>
      <c r="C9" s="26" t="s">
        <v>310</v>
      </c>
      <c r="D9" s="27" t="s">
        <v>303</v>
      </c>
    </row>
    <row r="10" spans="1:4" ht="15" customHeight="1" x14ac:dyDescent="0.4">
      <c r="A10" s="7" t="s">
        <v>761</v>
      </c>
      <c r="B10" s="30" t="str">
        <f t="shared" si="0"/>
        <v>024</v>
      </c>
      <c r="C10" s="26" t="s">
        <v>311</v>
      </c>
      <c r="D10" s="27" t="s">
        <v>303</v>
      </c>
    </row>
    <row r="11" spans="1:4" ht="15" customHeight="1" x14ac:dyDescent="0.4">
      <c r="A11" s="7" t="s">
        <v>762</v>
      </c>
      <c r="B11" s="30" t="str">
        <f t="shared" si="0"/>
        <v>031</v>
      </c>
      <c r="C11" s="26" t="s">
        <v>312</v>
      </c>
      <c r="D11" s="27" t="s">
        <v>313</v>
      </c>
    </row>
    <row r="12" spans="1:4" ht="15" customHeight="1" x14ac:dyDescent="0.4">
      <c r="A12" s="7" t="s">
        <v>763</v>
      </c>
      <c r="B12" s="30" t="str">
        <f t="shared" si="0"/>
        <v>032</v>
      </c>
      <c r="C12" s="26" t="s">
        <v>314</v>
      </c>
      <c r="D12" s="27" t="s">
        <v>313</v>
      </c>
    </row>
    <row r="13" spans="1:4" ht="15" customHeight="1" x14ac:dyDescent="0.4">
      <c r="A13" s="7" t="s">
        <v>764</v>
      </c>
      <c r="B13" s="30" t="str">
        <f t="shared" si="0"/>
        <v>051</v>
      </c>
      <c r="C13" s="26" t="s">
        <v>315</v>
      </c>
      <c r="D13" s="27" t="s">
        <v>316</v>
      </c>
    </row>
    <row r="14" spans="1:4" ht="15" customHeight="1" x14ac:dyDescent="0.4">
      <c r="A14" s="7" t="s">
        <v>765</v>
      </c>
      <c r="B14" s="30" t="str">
        <f t="shared" si="0"/>
        <v>052</v>
      </c>
      <c r="C14" s="26" t="s">
        <v>317</v>
      </c>
      <c r="D14" s="27" t="s">
        <v>316</v>
      </c>
    </row>
    <row r="15" spans="1:4" ht="15" customHeight="1" x14ac:dyDescent="0.4">
      <c r="A15" s="7" t="s">
        <v>766</v>
      </c>
      <c r="B15" s="30" t="str">
        <f t="shared" si="0"/>
        <v>061</v>
      </c>
      <c r="C15" s="26" t="s">
        <v>318</v>
      </c>
      <c r="D15" s="27" t="s">
        <v>316</v>
      </c>
    </row>
    <row r="16" spans="1:4" ht="15" customHeight="1" x14ac:dyDescent="0.4">
      <c r="A16" s="7" t="s">
        <v>767</v>
      </c>
      <c r="B16" s="30" t="str">
        <f t="shared" si="0"/>
        <v>062</v>
      </c>
      <c r="C16" s="26" t="s">
        <v>319</v>
      </c>
      <c r="D16" s="27" t="s">
        <v>316</v>
      </c>
    </row>
    <row r="17" spans="1:4" ht="15" customHeight="1" x14ac:dyDescent="0.4">
      <c r="A17" s="7" t="s">
        <v>768</v>
      </c>
      <c r="B17" s="30" t="str">
        <f t="shared" si="0"/>
        <v>071</v>
      </c>
      <c r="C17" s="26" t="s">
        <v>320</v>
      </c>
      <c r="D17" s="27" t="s">
        <v>316</v>
      </c>
    </row>
    <row r="18" spans="1:4" ht="15" customHeight="1" x14ac:dyDescent="0.4">
      <c r="A18" s="7" t="s">
        <v>769</v>
      </c>
      <c r="B18" s="30" t="str">
        <f t="shared" si="0"/>
        <v>072</v>
      </c>
      <c r="C18" s="26" t="s">
        <v>321</v>
      </c>
      <c r="D18" s="27" t="s">
        <v>316</v>
      </c>
    </row>
    <row r="19" spans="1:4" ht="15" customHeight="1" x14ac:dyDescent="0.4">
      <c r="A19" s="7" t="s">
        <v>770</v>
      </c>
      <c r="B19" s="30" t="str">
        <f t="shared" si="0"/>
        <v>081</v>
      </c>
      <c r="C19" s="26" t="s">
        <v>322</v>
      </c>
      <c r="D19" s="27" t="s">
        <v>316</v>
      </c>
    </row>
    <row r="20" spans="1:4" ht="15" customHeight="1" x14ac:dyDescent="0.4">
      <c r="A20" s="7" t="s">
        <v>771</v>
      </c>
      <c r="B20" s="30" t="str">
        <f t="shared" si="0"/>
        <v>089</v>
      </c>
      <c r="C20" s="26" t="s">
        <v>323</v>
      </c>
      <c r="D20" s="27" t="s">
        <v>316</v>
      </c>
    </row>
    <row r="21" spans="1:4" ht="15" customHeight="1" x14ac:dyDescent="0.4">
      <c r="A21" s="7" t="s">
        <v>772</v>
      </c>
      <c r="B21" s="30" t="str">
        <f t="shared" si="0"/>
        <v>091</v>
      </c>
      <c r="C21" s="26" t="s">
        <v>324</v>
      </c>
      <c r="D21" s="27" t="s">
        <v>316</v>
      </c>
    </row>
    <row r="22" spans="1:4" ht="15" customHeight="1" x14ac:dyDescent="0.4">
      <c r="A22" s="7" t="s">
        <v>773</v>
      </c>
      <c r="B22" s="30" t="str">
        <f t="shared" si="0"/>
        <v>099</v>
      </c>
      <c r="C22" s="26" t="s">
        <v>325</v>
      </c>
      <c r="D22" s="27" t="s">
        <v>316</v>
      </c>
    </row>
    <row r="23" spans="1:4" ht="15" customHeight="1" x14ac:dyDescent="0.4">
      <c r="A23" s="30" t="s">
        <v>551</v>
      </c>
      <c r="B23" s="30" t="str">
        <f t="shared" si="0"/>
        <v>101</v>
      </c>
      <c r="C23" s="26" t="s">
        <v>326</v>
      </c>
      <c r="D23" s="28" t="s">
        <v>327</v>
      </c>
    </row>
    <row r="24" spans="1:4" ht="15" customHeight="1" x14ac:dyDescent="0.4">
      <c r="A24" s="30" t="s">
        <v>552</v>
      </c>
      <c r="B24" s="30" t="str">
        <f t="shared" si="0"/>
        <v>102</v>
      </c>
      <c r="C24" s="26" t="s">
        <v>328</v>
      </c>
      <c r="D24" s="28" t="s">
        <v>327</v>
      </c>
    </row>
    <row r="25" spans="1:4" ht="15" customHeight="1" x14ac:dyDescent="0.4">
      <c r="A25" s="30" t="s">
        <v>553</v>
      </c>
      <c r="B25" s="30" t="str">
        <f t="shared" si="0"/>
        <v>103</v>
      </c>
      <c r="C25" s="26" t="s">
        <v>329</v>
      </c>
      <c r="D25" s="28" t="s">
        <v>327</v>
      </c>
    </row>
    <row r="26" spans="1:4" ht="15" customHeight="1" x14ac:dyDescent="0.4">
      <c r="A26" s="30" t="s">
        <v>554</v>
      </c>
      <c r="B26" s="30" t="str">
        <f t="shared" si="0"/>
        <v>104</v>
      </c>
      <c r="C26" s="26" t="s">
        <v>330</v>
      </c>
      <c r="D26" s="28" t="s">
        <v>327</v>
      </c>
    </row>
    <row r="27" spans="1:4" ht="15" customHeight="1" x14ac:dyDescent="0.4">
      <c r="A27" s="30" t="s">
        <v>555</v>
      </c>
      <c r="B27" s="30" t="str">
        <f t="shared" si="0"/>
        <v>105</v>
      </c>
      <c r="C27" s="26" t="s">
        <v>331</v>
      </c>
      <c r="D27" s="28" t="s">
        <v>327</v>
      </c>
    </row>
    <row r="28" spans="1:4" ht="15" customHeight="1" x14ac:dyDescent="0.4">
      <c r="A28" s="30" t="s">
        <v>556</v>
      </c>
      <c r="B28" s="30" t="str">
        <f t="shared" si="0"/>
        <v>106</v>
      </c>
      <c r="C28" s="26" t="s">
        <v>332</v>
      </c>
      <c r="D28" s="28" t="s">
        <v>327</v>
      </c>
    </row>
    <row r="29" spans="1:4" ht="15" customHeight="1" x14ac:dyDescent="0.4">
      <c r="A29" s="30" t="s">
        <v>557</v>
      </c>
      <c r="B29" s="30" t="str">
        <f t="shared" si="0"/>
        <v>107</v>
      </c>
      <c r="C29" s="26" t="s">
        <v>333</v>
      </c>
      <c r="D29" s="28" t="s">
        <v>327</v>
      </c>
    </row>
    <row r="30" spans="1:4" ht="15" customHeight="1" x14ac:dyDescent="0.4">
      <c r="A30" s="30" t="s">
        <v>558</v>
      </c>
      <c r="B30" s="30" t="str">
        <f t="shared" si="0"/>
        <v>108</v>
      </c>
      <c r="C30" s="26" t="s">
        <v>334</v>
      </c>
      <c r="D30" s="28" t="s">
        <v>327</v>
      </c>
    </row>
    <row r="31" spans="1:4" ht="15" customHeight="1" x14ac:dyDescent="0.4">
      <c r="A31" s="30" t="s">
        <v>559</v>
      </c>
      <c r="B31" s="30" t="str">
        <f t="shared" si="0"/>
        <v>109</v>
      </c>
      <c r="C31" s="26" t="s">
        <v>335</v>
      </c>
      <c r="D31" s="28" t="s">
        <v>327</v>
      </c>
    </row>
    <row r="32" spans="1:4" ht="15" customHeight="1" x14ac:dyDescent="0.4">
      <c r="A32" s="30" t="s">
        <v>560</v>
      </c>
      <c r="B32" s="30" t="str">
        <f t="shared" si="0"/>
        <v>110</v>
      </c>
      <c r="C32" s="26" t="s">
        <v>336</v>
      </c>
      <c r="D32" s="28" t="s">
        <v>327</v>
      </c>
    </row>
    <row r="33" spans="1:4" ht="15" customHeight="1" x14ac:dyDescent="0.4">
      <c r="A33" s="30" t="s">
        <v>561</v>
      </c>
      <c r="B33" s="30" t="str">
        <f t="shared" si="0"/>
        <v>120</v>
      </c>
      <c r="C33" s="26" t="s">
        <v>337</v>
      </c>
      <c r="D33" s="27" t="s">
        <v>338</v>
      </c>
    </row>
    <row r="34" spans="1:4" ht="15" customHeight="1" x14ac:dyDescent="0.4">
      <c r="A34" s="30" t="s">
        <v>562</v>
      </c>
      <c r="B34" s="30" t="str">
        <f t="shared" si="0"/>
        <v>131</v>
      </c>
      <c r="C34" s="26" t="s">
        <v>339</v>
      </c>
      <c r="D34" s="28" t="s">
        <v>340</v>
      </c>
    </row>
    <row r="35" spans="1:4" ht="15" customHeight="1" x14ac:dyDescent="0.4">
      <c r="A35" s="30" t="s">
        <v>563</v>
      </c>
      <c r="B35" s="30" t="str">
        <f t="shared" si="0"/>
        <v>139</v>
      </c>
      <c r="C35" s="26" t="s">
        <v>341</v>
      </c>
      <c r="D35" s="28" t="s">
        <v>340</v>
      </c>
    </row>
    <row r="36" spans="1:4" ht="15" customHeight="1" x14ac:dyDescent="0.4">
      <c r="A36" s="30" t="s">
        <v>564</v>
      </c>
      <c r="B36" s="30" t="str">
        <f t="shared" si="0"/>
        <v>141</v>
      </c>
      <c r="C36" s="26" t="s">
        <v>342</v>
      </c>
      <c r="D36" s="28" t="s">
        <v>340</v>
      </c>
    </row>
    <row r="37" spans="1:4" ht="15" customHeight="1" x14ac:dyDescent="0.4">
      <c r="A37" s="30" t="s">
        <v>565</v>
      </c>
      <c r="B37" s="30" t="str">
        <f t="shared" si="0"/>
        <v>142</v>
      </c>
      <c r="C37" s="26" t="s">
        <v>343</v>
      </c>
      <c r="D37" s="28" t="s">
        <v>340</v>
      </c>
    </row>
    <row r="38" spans="1:4" ht="15" customHeight="1" x14ac:dyDescent="0.4">
      <c r="A38" s="30" t="s">
        <v>566</v>
      </c>
      <c r="B38" s="30" t="str">
        <f t="shared" si="0"/>
        <v>143</v>
      </c>
      <c r="C38" s="26" t="s">
        <v>344</v>
      </c>
      <c r="D38" s="28" t="s">
        <v>340</v>
      </c>
    </row>
    <row r="39" spans="1:4" ht="15" customHeight="1" x14ac:dyDescent="0.4">
      <c r="A39" s="30" t="s">
        <v>567</v>
      </c>
      <c r="B39" s="30" t="str">
        <f t="shared" si="0"/>
        <v>149</v>
      </c>
      <c r="C39" s="26" t="s">
        <v>345</v>
      </c>
      <c r="D39" s="28" t="s">
        <v>340</v>
      </c>
    </row>
    <row r="40" spans="1:4" ht="15" customHeight="1" x14ac:dyDescent="0.4">
      <c r="A40" s="30" t="s">
        <v>568</v>
      </c>
      <c r="B40" s="30" t="str">
        <f t="shared" si="0"/>
        <v>151</v>
      </c>
      <c r="C40" s="26" t="s">
        <v>346</v>
      </c>
      <c r="D40" s="28" t="s">
        <v>340</v>
      </c>
    </row>
    <row r="41" spans="1:4" ht="15" customHeight="1" x14ac:dyDescent="0.4">
      <c r="A41" s="30" t="s">
        <v>569</v>
      </c>
      <c r="B41" s="30" t="str">
        <f t="shared" si="0"/>
        <v>152</v>
      </c>
      <c r="C41" s="26" t="s">
        <v>347</v>
      </c>
      <c r="D41" s="28" t="s">
        <v>340</v>
      </c>
    </row>
    <row r="42" spans="1:4" ht="15" customHeight="1" x14ac:dyDescent="0.4">
      <c r="A42" s="30" t="s">
        <v>570</v>
      </c>
      <c r="B42" s="30" t="str">
        <f t="shared" si="0"/>
        <v>161</v>
      </c>
      <c r="C42" s="26" t="s">
        <v>348</v>
      </c>
      <c r="D42" s="27" t="s">
        <v>349</v>
      </c>
    </row>
    <row r="43" spans="1:4" ht="15" customHeight="1" x14ac:dyDescent="0.4">
      <c r="A43" s="30" t="s">
        <v>571</v>
      </c>
      <c r="B43" s="30" t="str">
        <f t="shared" si="0"/>
        <v>162</v>
      </c>
      <c r="C43" s="26" t="s">
        <v>350</v>
      </c>
      <c r="D43" s="27" t="s">
        <v>349</v>
      </c>
    </row>
    <row r="44" spans="1:4" ht="15" customHeight="1" x14ac:dyDescent="0.4">
      <c r="A44" s="30" t="s">
        <v>572</v>
      </c>
      <c r="B44" s="30" t="str">
        <f t="shared" si="0"/>
        <v>170</v>
      </c>
      <c r="C44" s="26" t="s">
        <v>351</v>
      </c>
      <c r="D44" s="27" t="s">
        <v>349</v>
      </c>
    </row>
    <row r="45" spans="1:4" ht="15" customHeight="1" x14ac:dyDescent="0.4">
      <c r="A45" s="30" t="s">
        <v>573</v>
      </c>
      <c r="B45" s="30" t="str">
        <f t="shared" si="0"/>
        <v>181</v>
      </c>
      <c r="C45" s="26" t="s">
        <v>352</v>
      </c>
      <c r="D45" s="27" t="s">
        <v>353</v>
      </c>
    </row>
    <row r="46" spans="1:4" ht="15" customHeight="1" x14ac:dyDescent="0.4">
      <c r="A46" s="30" t="s">
        <v>574</v>
      </c>
      <c r="B46" s="30" t="str">
        <f t="shared" si="0"/>
        <v>182</v>
      </c>
      <c r="C46" s="26" t="s">
        <v>354</v>
      </c>
      <c r="D46" s="27" t="s">
        <v>353</v>
      </c>
    </row>
    <row r="47" spans="1:4" ht="15" customHeight="1" x14ac:dyDescent="0.4">
      <c r="A47" s="30" t="s">
        <v>575</v>
      </c>
      <c r="B47" s="30" t="str">
        <f t="shared" si="0"/>
        <v>191</v>
      </c>
      <c r="C47" s="26" t="s">
        <v>355</v>
      </c>
      <c r="D47" s="27" t="s">
        <v>356</v>
      </c>
    </row>
    <row r="48" spans="1:4" ht="15" customHeight="1" x14ac:dyDescent="0.4">
      <c r="A48" s="30" t="s">
        <v>576</v>
      </c>
      <c r="B48" s="30" t="str">
        <f t="shared" si="0"/>
        <v>192</v>
      </c>
      <c r="C48" s="26" t="s">
        <v>357</v>
      </c>
      <c r="D48" s="27" t="s">
        <v>356</v>
      </c>
    </row>
    <row r="49" spans="1:4" ht="15" customHeight="1" x14ac:dyDescent="0.4">
      <c r="A49" s="30" t="s">
        <v>577</v>
      </c>
      <c r="B49" s="30" t="str">
        <f t="shared" si="0"/>
        <v>201</v>
      </c>
      <c r="C49" s="26" t="s">
        <v>358</v>
      </c>
      <c r="D49" s="27" t="s">
        <v>359</v>
      </c>
    </row>
    <row r="50" spans="1:4" ht="15" customHeight="1" x14ac:dyDescent="0.4">
      <c r="A50" s="30" t="s">
        <v>578</v>
      </c>
      <c r="B50" s="30" t="str">
        <f t="shared" si="0"/>
        <v>202</v>
      </c>
      <c r="C50" s="26" t="s">
        <v>360</v>
      </c>
      <c r="D50" s="27" t="s">
        <v>359</v>
      </c>
    </row>
    <row r="51" spans="1:4" ht="15" customHeight="1" x14ac:dyDescent="0.4">
      <c r="A51" s="30" t="s">
        <v>579</v>
      </c>
      <c r="B51" s="30" t="str">
        <f t="shared" si="0"/>
        <v>203</v>
      </c>
      <c r="C51" s="26" t="s">
        <v>361</v>
      </c>
      <c r="D51" s="27" t="s">
        <v>359</v>
      </c>
    </row>
    <row r="52" spans="1:4" ht="15" customHeight="1" x14ac:dyDescent="0.4">
      <c r="A52" s="30" t="s">
        <v>580</v>
      </c>
      <c r="B52" s="30" t="str">
        <f t="shared" si="0"/>
        <v>204</v>
      </c>
      <c r="C52" s="26" t="s">
        <v>362</v>
      </c>
      <c r="D52" s="27" t="s">
        <v>359</v>
      </c>
    </row>
    <row r="53" spans="1:4" ht="15" customHeight="1" x14ac:dyDescent="0.4">
      <c r="A53" s="30" t="s">
        <v>581</v>
      </c>
      <c r="B53" s="30" t="str">
        <f t="shared" si="0"/>
        <v>210</v>
      </c>
      <c r="C53" s="26" t="s">
        <v>363</v>
      </c>
      <c r="D53" s="27" t="s">
        <v>359</v>
      </c>
    </row>
    <row r="54" spans="1:4" ht="15" customHeight="1" x14ac:dyDescent="0.4">
      <c r="A54" s="30" t="s">
        <v>582</v>
      </c>
      <c r="B54" s="30" t="str">
        <f t="shared" si="0"/>
        <v>221</v>
      </c>
      <c r="C54" s="26" t="s">
        <v>364</v>
      </c>
      <c r="D54" s="27" t="s">
        <v>365</v>
      </c>
    </row>
    <row r="55" spans="1:4" ht="15" customHeight="1" x14ac:dyDescent="0.4">
      <c r="A55" s="30" t="s">
        <v>583</v>
      </c>
      <c r="B55" s="30" t="str">
        <f t="shared" si="0"/>
        <v>222</v>
      </c>
      <c r="C55" s="26" t="s">
        <v>366</v>
      </c>
      <c r="D55" s="27" t="s">
        <v>365</v>
      </c>
    </row>
    <row r="56" spans="1:4" ht="15" customHeight="1" x14ac:dyDescent="0.4">
      <c r="A56" s="30" t="s">
        <v>584</v>
      </c>
      <c r="B56" s="30" t="str">
        <f t="shared" si="0"/>
        <v>231</v>
      </c>
      <c r="C56" s="26" t="s">
        <v>367</v>
      </c>
      <c r="D56" s="27" t="s">
        <v>368</v>
      </c>
    </row>
    <row r="57" spans="1:4" ht="15" customHeight="1" x14ac:dyDescent="0.4">
      <c r="A57" s="30" t="s">
        <v>585</v>
      </c>
      <c r="B57" s="30" t="str">
        <f t="shared" si="0"/>
        <v>239</v>
      </c>
      <c r="C57" s="26" t="s">
        <v>369</v>
      </c>
      <c r="D57" s="27" t="s">
        <v>368</v>
      </c>
    </row>
    <row r="58" spans="1:4" ht="15" customHeight="1" x14ac:dyDescent="0.4">
      <c r="A58" s="30" t="s">
        <v>586</v>
      </c>
      <c r="B58" s="30" t="str">
        <f t="shared" si="0"/>
        <v>241</v>
      </c>
      <c r="C58" s="26" t="s">
        <v>370</v>
      </c>
      <c r="D58" s="27" t="s">
        <v>371</v>
      </c>
    </row>
    <row r="59" spans="1:4" ht="15" customHeight="1" x14ac:dyDescent="0.4">
      <c r="A59" s="30" t="s">
        <v>587</v>
      </c>
      <c r="B59" s="30" t="str">
        <f t="shared" si="0"/>
        <v>242</v>
      </c>
      <c r="C59" s="26" t="s">
        <v>372</v>
      </c>
      <c r="D59" s="27" t="s">
        <v>371</v>
      </c>
    </row>
    <row r="60" spans="1:4" ht="15" customHeight="1" x14ac:dyDescent="0.4">
      <c r="A60" s="30" t="s">
        <v>588</v>
      </c>
      <c r="B60" s="30" t="str">
        <f t="shared" si="0"/>
        <v>243</v>
      </c>
      <c r="C60" s="26" t="s">
        <v>373</v>
      </c>
      <c r="D60" s="27" t="s">
        <v>371</v>
      </c>
    </row>
    <row r="61" spans="1:4" ht="15" customHeight="1" x14ac:dyDescent="0.4">
      <c r="A61" s="30" t="s">
        <v>589</v>
      </c>
      <c r="B61" s="30" t="str">
        <f t="shared" si="0"/>
        <v>251</v>
      </c>
      <c r="C61" s="26" t="s">
        <v>374</v>
      </c>
      <c r="D61" s="27" t="s">
        <v>375</v>
      </c>
    </row>
    <row r="62" spans="1:4" ht="15" customHeight="1" x14ac:dyDescent="0.4">
      <c r="A62" s="30" t="s">
        <v>590</v>
      </c>
      <c r="B62" s="30" t="str">
        <f t="shared" si="0"/>
        <v>252</v>
      </c>
      <c r="C62" s="26" t="s">
        <v>376</v>
      </c>
      <c r="D62" s="27" t="s">
        <v>375</v>
      </c>
    </row>
    <row r="63" spans="1:4" ht="15" customHeight="1" x14ac:dyDescent="0.4">
      <c r="A63" s="30" t="s">
        <v>591</v>
      </c>
      <c r="B63" s="30" t="str">
        <f t="shared" si="0"/>
        <v>259</v>
      </c>
      <c r="C63" s="26" t="s">
        <v>377</v>
      </c>
      <c r="D63" s="27" t="s">
        <v>375</v>
      </c>
    </row>
    <row r="64" spans="1:4" ht="15" customHeight="1" x14ac:dyDescent="0.4">
      <c r="A64" s="30" t="s">
        <v>592</v>
      </c>
      <c r="B64" s="30" t="str">
        <f t="shared" si="0"/>
        <v>261</v>
      </c>
      <c r="C64" s="26" t="s">
        <v>378</v>
      </c>
      <c r="D64" s="27" t="s">
        <v>375</v>
      </c>
    </row>
    <row r="65" spans="1:4" ht="15" customHeight="1" x14ac:dyDescent="0.4">
      <c r="A65" s="30" t="s">
        <v>593</v>
      </c>
      <c r="B65" s="30" t="str">
        <f t="shared" si="0"/>
        <v>262</v>
      </c>
      <c r="C65" s="26" t="s">
        <v>379</v>
      </c>
      <c r="D65" s="27" t="s">
        <v>375</v>
      </c>
    </row>
    <row r="66" spans="1:4" ht="15" customHeight="1" x14ac:dyDescent="0.4">
      <c r="A66" s="30" t="s">
        <v>594</v>
      </c>
      <c r="B66" s="30" t="str">
        <f t="shared" si="0"/>
        <v>263</v>
      </c>
      <c r="C66" s="26" t="s">
        <v>380</v>
      </c>
      <c r="D66" s="27" t="s">
        <v>375</v>
      </c>
    </row>
    <row r="67" spans="1:4" ht="15" customHeight="1" x14ac:dyDescent="0.4">
      <c r="A67" s="30" t="s">
        <v>595</v>
      </c>
      <c r="B67" s="30" t="str">
        <f t="shared" ref="B67:B130" si="1">LEFT(C67,3)</f>
        <v>264</v>
      </c>
      <c r="C67" s="26" t="s">
        <v>381</v>
      </c>
      <c r="D67" s="27" t="s">
        <v>375</v>
      </c>
    </row>
    <row r="68" spans="1:4" ht="15" customHeight="1" x14ac:dyDescent="0.4">
      <c r="A68" s="30" t="s">
        <v>596</v>
      </c>
      <c r="B68" s="30" t="str">
        <f t="shared" si="1"/>
        <v>265</v>
      </c>
      <c r="C68" s="26" t="s">
        <v>382</v>
      </c>
      <c r="D68" s="27" t="s">
        <v>375</v>
      </c>
    </row>
    <row r="69" spans="1:4" ht="15" customHeight="1" x14ac:dyDescent="0.4">
      <c r="A69" s="30" t="s">
        <v>597</v>
      </c>
      <c r="B69" s="30" t="str">
        <f t="shared" si="1"/>
        <v>266</v>
      </c>
      <c r="C69" s="26" t="s">
        <v>383</v>
      </c>
      <c r="D69" s="27" t="s">
        <v>375</v>
      </c>
    </row>
    <row r="70" spans="1:4" ht="15" customHeight="1" x14ac:dyDescent="0.4">
      <c r="A70" s="30" t="s">
        <v>598</v>
      </c>
      <c r="B70" s="30" t="str">
        <f t="shared" si="1"/>
        <v>267</v>
      </c>
      <c r="C70" s="26" t="s">
        <v>384</v>
      </c>
      <c r="D70" s="27" t="s">
        <v>375</v>
      </c>
    </row>
    <row r="71" spans="1:4" ht="15" customHeight="1" x14ac:dyDescent="0.4">
      <c r="A71" s="30" t="s">
        <v>599</v>
      </c>
      <c r="B71" s="30" t="str">
        <f t="shared" si="1"/>
        <v>268</v>
      </c>
      <c r="C71" s="26" t="s">
        <v>385</v>
      </c>
      <c r="D71" s="27" t="s">
        <v>375</v>
      </c>
    </row>
    <row r="72" spans="1:4" ht="15" customHeight="1" x14ac:dyDescent="0.4">
      <c r="A72" s="30" t="s">
        <v>600</v>
      </c>
      <c r="B72" s="30" t="str">
        <f t="shared" si="1"/>
        <v>271</v>
      </c>
      <c r="C72" s="26" t="s">
        <v>386</v>
      </c>
      <c r="D72" s="27" t="s">
        <v>375</v>
      </c>
    </row>
    <row r="73" spans="1:4" ht="15" customHeight="1" x14ac:dyDescent="0.4">
      <c r="A73" s="30" t="s">
        <v>601</v>
      </c>
      <c r="B73" s="30" t="str">
        <f t="shared" si="1"/>
        <v>272</v>
      </c>
      <c r="C73" s="26" t="s">
        <v>387</v>
      </c>
      <c r="D73" s="27" t="s">
        <v>375</v>
      </c>
    </row>
    <row r="74" spans="1:4" ht="15" customHeight="1" x14ac:dyDescent="0.4">
      <c r="A74" s="30" t="s">
        <v>602</v>
      </c>
      <c r="B74" s="30" t="str">
        <f t="shared" si="1"/>
        <v>273</v>
      </c>
      <c r="C74" s="26" t="s">
        <v>388</v>
      </c>
      <c r="D74" s="27" t="s">
        <v>375</v>
      </c>
    </row>
    <row r="75" spans="1:4" ht="15" customHeight="1" x14ac:dyDescent="0.4">
      <c r="A75" s="30" t="s">
        <v>603</v>
      </c>
      <c r="B75" s="30" t="str">
        <f t="shared" si="1"/>
        <v>274</v>
      </c>
      <c r="C75" s="26" t="s">
        <v>389</v>
      </c>
      <c r="D75" s="27" t="s">
        <v>375</v>
      </c>
    </row>
    <row r="76" spans="1:4" ht="15" customHeight="1" x14ac:dyDescent="0.4">
      <c r="A76" s="30" t="s">
        <v>604</v>
      </c>
      <c r="B76" s="30" t="str">
        <f t="shared" si="1"/>
        <v>275</v>
      </c>
      <c r="C76" s="26" t="s">
        <v>390</v>
      </c>
      <c r="D76" s="27" t="s">
        <v>375</v>
      </c>
    </row>
    <row r="77" spans="1:4" ht="15" customHeight="1" x14ac:dyDescent="0.4">
      <c r="A77" s="30" t="s">
        <v>605</v>
      </c>
      <c r="B77" s="30" t="str">
        <f t="shared" si="1"/>
        <v>279</v>
      </c>
      <c r="C77" s="26" t="s">
        <v>391</v>
      </c>
      <c r="D77" s="27" t="s">
        <v>375</v>
      </c>
    </row>
    <row r="78" spans="1:4" ht="15" customHeight="1" x14ac:dyDescent="0.4">
      <c r="A78" s="30" t="s">
        <v>606</v>
      </c>
      <c r="B78" s="30" t="str">
        <f t="shared" si="1"/>
        <v>281</v>
      </c>
      <c r="C78" s="26" t="s">
        <v>392</v>
      </c>
      <c r="D78" s="27" t="s">
        <v>375</v>
      </c>
    </row>
    <row r="79" spans="1:4" ht="15" customHeight="1" x14ac:dyDescent="0.4">
      <c r="A79" s="30" t="s">
        <v>607</v>
      </c>
      <c r="B79" s="30" t="str">
        <f t="shared" si="1"/>
        <v>282</v>
      </c>
      <c r="C79" s="26" t="s">
        <v>393</v>
      </c>
      <c r="D79" s="27" t="s">
        <v>375</v>
      </c>
    </row>
    <row r="80" spans="1:4" ht="15" customHeight="1" x14ac:dyDescent="0.4">
      <c r="A80" s="30" t="s">
        <v>608</v>
      </c>
      <c r="B80" s="30" t="str">
        <f t="shared" si="1"/>
        <v>291</v>
      </c>
      <c r="C80" s="26" t="s">
        <v>394</v>
      </c>
      <c r="D80" s="27" t="s">
        <v>395</v>
      </c>
    </row>
    <row r="81" spans="1:4" ht="15" customHeight="1" x14ac:dyDescent="0.4">
      <c r="A81" s="30" t="s">
        <v>609</v>
      </c>
      <c r="B81" s="30" t="str">
        <f t="shared" si="1"/>
        <v>292</v>
      </c>
      <c r="C81" s="26" t="s">
        <v>396</v>
      </c>
      <c r="D81" s="27" t="s">
        <v>395</v>
      </c>
    </row>
    <row r="82" spans="1:4" ht="15" customHeight="1" x14ac:dyDescent="0.4">
      <c r="A82" s="30" t="s">
        <v>610</v>
      </c>
      <c r="B82" s="30" t="str">
        <f t="shared" si="1"/>
        <v>293</v>
      </c>
      <c r="C82" s="26" t="s">
        <v>397</v>
      </c>
      <c r="D82" s="27" t="s">
        <v>395</v>
      </c>
    </row>
    <row r="83" spans="1:4" ht="15" customHeight="1" x14ac:dyDescent="0.4">
      <c r="A83" s="30" t="s">
        <v>611</v>
      </c>
      <c r="B83" s="30" t="str">
        <f t="shared" si="1"/>
        <v>301</v>
      </c>
      <c r="C83" s="26" t="s">
        <v>398</v>
      </c>
      <c r="D83" s="27" t="s">
        <v>395</v>
      </c>
    </row>
    <row r="84" spans="1:4" ht="15" customHeight="1" x14ac:dyDescent="0.4">
      <c r="A84" s="30" t="s">
        <v>612</v>
      </c>
      <c r="B84" s="30" t="str">
        <f t="shared" si="1"/>
        <v>302</v>
      </c>
      <c r="C84" s="26" t="s">
        <v>399</v>
      </c>
      <c r="D84" s="27" t="s">
        <v>395</v>
      </c>
    </row>
    <row r="85" spans="1:4" ht="15" customHeight="1" x14ac:dyDescent="0.4">
      <c r="A85" s="30" t="s">
        <v>613</v>
      </c>
      <c r="B85" s="30" t="str">
        <f t="shared" si="1"/>
        <v>303</v>
      </c>
      <c r="C85" s="26" t="s">
        <v>400</v>
      </c>
      <c r="D85" s="27" t="s">
        <v>395</v>
      </c>
    </row>
    <row r="86" spans="1:4" ht="15" customHeight="1" x14ac:dyDescent="0.4">
      <c r="A86" s="30" t="s">
        <v>614</v>
      </c>
      <c r="B86" s="30" t="str">
        <f t="shared" si="1"/>
        <v>309</v>
      </c>
      <c r="C86" s="26" t="s">
        <v>401</v>
      </c>
      <c r="D86" s="27" t="s">
        <v>395</v>
      </c>
    </row>
    <row r="87" spans="1:4" ht="15" customHeight="1" x14ac:dyDescent="0.4">
      <c r="A87" s="30" t="s">
        <v>615</v>
      </c>
      <c r="B87" s="30" t="str">
        <f t="shared" si="1"/>
        <v>310</v>
      </c>
      <c r="C87" s="26" t="s">
        <v>402</v>
      </c>
      <c r="D87" s="27" t="s">
        <v>403</v>
      </c>
    </row>
    <row r="88" spans="1:4" ht="15" customHeight="1" x14ac:dyDescent="0.4">
      <c r="A88" s="30" t="s">
        <v>616</v>
      </c>
      <c r="B88" s="30" t="str">
        <f t="shared" si="1"/>
        <v>321</v>
      </c>
      <c r="C88" s="26" t="s">
        <v>404</v>
      </c>
      <c r="D88" s="27" t="s">
        <v>403</v>
      </c>
    </row>
    <row r="89" spans="1:4" ht="15" customHeight="1" x14ac:dyDescent="0.4">
      <c r="A89" s="30" t="s">
        <v>617</v>
      </c>
      <c r="B89" s="30" t="str">
        <f t="shared" si="1"/>
        <v>322</v>
      </c>
      <c r="C89" s="26" t="s">
        <v>405</v>
      </c>
      <c r="D89" s="27" t="s">
        <v>403</v>
      </c>
    </row>
    <row r="90" spans="1:4" ht="15" customHeight="1" x14ac:dyDescent="0.4">
      <c r="A90" s="30" t="s">
        <v>618</v>
      </c>
      <c r="B90" s="30" t="str">
        <f t="shared" si="1"/>
        <v>323</v>
      </c>
      <c r="C90" s="26" t="s">
        <v>406</v>
      </c>
      <c r="D90" s="27" t="s">
        <v>403</v>
      </c>
    </row>
    <row r="91" spans="1:4" ht="15" customHeight="1" x14ac:dyDescent="0.4">
      <c r="A91" s="30" t="s">
        <v>619</v>
      </c>
      <c r="B91" s="30" t="str">
        <f t="shared" si="1"/>
        <v>324</v>
      </c>
      <c r="C91" s="26" t="s">
        <v>407</v>
      </c>
      <c r="D91" s="27" t="s">
        <v>403</v>
      </c>
    </row>
    <row r="92" spans="1:4" ht="15" customHeight="1" x14ac:dyDescent="0.4">
      <c r="A92" s="30" t="s">
        <v>620</v>
      </c>
      <c r="B92" s="30" t="str">
        <f t="shared" si="1"/>
        <v>329</v>
      </c>
      <c r="C92" s="26" t="s">
        <v>408</v>
      </c>
      <c r="D92" s="27" t="s">
        <v>403</v>
      </c>
    </row>
    <row r="93" spans="1:4" ht="15" customHeight="1" x14ac:dyDescent="0.4">
      <c r="A93" s="30" t="s">
        <v>621</v>
      </c>
      <c r="B93" s="30" t="str">
        <f t="shared" si="1"/>
        <v>331</v>
      </c>
      <c r="C93" s="26" t="s">
        <v>409</v>
      </c>
      <c r="D93" s="27" t="s">
        <v>403</v>
      </c>
    </row>
    <row r="94" spans="1:4" ht="15" customHeight="1" x14ac:dyDescent="0.4">
      <c r="A94" s="30" t="s">
        <v>622</v>
      </c>
      <c r="B94" s="30" t="str">
        <f t="shared" si="1"/>
        <v>332</v>
      </c>
      <c r="C94" s="26" t="s">
        <v>410</v>
      </c>
      <c r="D94" s="27" t="s">
        <v>403</v>
      </c>
    </row>
    <row r="95" spans="1:4" ht="15" customHeight="1" x14ac:dyDescent="0.4">
      <c r="A95" s="30" t="s">
        <v>623</v>
      </c>
      <c r="B95" s="30" t="str">
        <f t="shared" si="1"/>
        <v>351</v>
      </c>
      <c r="C95" s="26" t="s">
        <v>411</v>
      </c>
      <c r="D95" s="27" t="s">
        <v>412</v>
      </c>
    </row>
    <row r="96" spans="1:4" ht="15" customHeight="1" x14ac:dyDescent="0.4">
      <c r="A96" s="30" t="s">
        <v>624</v>
      </c>
      <c r="B96" s="30" t="str">
        <f t="shared" si="1"/>
        <v>352</v>
      </c>
      <c r="C96" s="26" t="s">
        <v>413</v>
      </c>
      <c r="D96" s="27" t="s">
        <v>412</v>
      </c>
    </row>
    <row r="97" spans="1:4" ht="15" customHeight="1" x14ac:dyDescent="0.4">
      <c r="A97" s="30" t="s">
        <v>625</v>
      </c>
      <c r="B97" s="30" t="str">
        <f t="shared" si="1"/>
        <v>353</v>
      </c>
      <c r="C97" s="26" t="s">
        <v>414</v>
      </c>
      <c r="D97" s="27" t="s">
        <v>412</v>
      </c>
    </row>
    <row r="98" spans="1:4" ht="15" customHeight="1" x14ac:dyDescent="0.4">
      <c r="A98" s="30" t="s">
        <v>626</v>
      </c>
      <c r="B98" s="30" t="str">
        <f t="shared" si="1"/>
        <v>360</v>
      </c>
      <c r="C98" s="26" t="s">
        <v>415</v>
      </c>
      <c r="D98" s="27" t="s">
        <v>412</v>
      </c>
    </row>
    <row r="99" spans="1:4" ht="15" customHeight="1" x14ac:dyDescent="0.4">
      <c r="A99" s="30" t="s">
        <v>627</v>
      </c>
      <c r="B99" s="30" t="str">
        <f t="shared" si="1"/>
        <v>370</v>
      </c>
      <c r="C99" s="26" t="s">
        <v>416</v>
      </c>
      <c r="D99" s="27" t="s">
        <v>412</v>
      </c>
    </row>
    <row r="100" spans="1:4" ht="15" customHeight="1" x14ac:dyDescent="0.4">
      <c r="A100" s="30" t="s">
        <v>628</v>
      </c>
      <c r="B100" s="30" t="str">
        <f t="shared" si="1"/>
        <v>381</v>
      </c>
      <c r="C100" s="26" t="s">
        <v>417</v>
      </c>
      <c r="D100" s="27" t="s">
        <v>412</v>
      </c>
    </row>
    <row r="101" spans="1:4" ht="15" customHeight="1" x14ac:dyDescent="0.4">
      <c r="A101" s="30" t="s">
        <v>629</v>
      </c>
      <c r="B101" s="30" t="str">
        <f t="shared" si="1"/>
        <v>382</v>
      </c>
      <c r="C101" s="26" t="s">
        <v>418</v>
      </c>
      <c r="D101" s="27" t="s">
        <v>412</v>
      </c>
    </row>
    <row r="102" spans="1:4" ht="15" customHeight="1" x14ac:dyDescent="0.4">
      <c r="A102" s="30" t="s">
        <v>630</v>
      </c>
      <c r="B102" s="30" t="str">
        <f t="shared" si="1"/>
        <v>390</v>
      </c>
      <c r="C102" s="26" t="s">
        <v>419</v>
      </c>
      <c r="D102" s="27" t="s">
        <v>412</v>
      </c>
    </row>
    <row r="103" spans="1:4" ht="15" customHeight="1" x14ac:dyDescent="0.4">
      <c r="A103" s="30" t="s">
        <v>631</v>
      </c>
      <c r="B103" s="30" t="str">
        <f t="shared" si="1"/>
        <v>410</v>
      </c>
      <c r="C103" s="26" t="s">
        <v>420</v>
      </c>
      <c r="D103" s="27" t="s">
        <v>421</v>
      </c>
    </row>
    <row r="104" spans="1:4" ht="15" customHeight="1" x14ac:dyDescent="0.4">
      <c r="A104" s="30" t="s">
        <v>632</v>
      </c>
      <c r="B104" s="30" t="str">
        <f t="shared" si="1"/>
        <v>421</v>
      </c>
      <c r="C104" s="26" t="s">
        <v>422</v>
      </c>
      <c r="D104" s="27" t="s">
        <v>421</v>
      </c>
    </row>
    <row r="105" spans="1:4" ht="15" customHeight="1" x14ac:dyDescent="0.4">
      <c r="A105" s="30" t="s">
        <v>633</v>
      </c>
      <c r="B105" s="30" t="str">
        <f t="shared" si="1"/>
        <v>422</v>
      </c>
      <c r="C105" s="26" t="s">
        <v>423</v>
      </c>
      <c r="D105" s="27" t="s">
        <v>421</v>
      </c>
    </row>
    <row r="106" spans="1:4" ht="15" customHeight="1" x14ac:dyDescent="0.4">
      <c r="A106" s="30" t="s">
        <v>634</v>
      </c>
      <c r="B106" s="30" t="str">
        <f t="shared" si="1"/>
        <v>429</v>
      </c>
      <c r="C106" s="26" t="s">
        <v>424</v>
      </c>
      <c r="D106" s="27" t="s">
        <v>421</v>
      </c>
    </row>
    <row r="107" spans="1:4" ht="15" customHeight="1" x14ac:dyDescent="0.4">
      <c r="A107" s="30" t="s">
        <v>635</v>
      </c>
      <c r="B107" s="30" t="str">
        <f t="shared" si="1"/>
        <v>431</v>
      </c>
      <c r="C107" s="26" t="s">
        <v>425</v>
      </c>
      <c r="D107" s="27" t="s">
        <v>421</v>
      </c>
    </row>
    <row r="108" spans="1:4" ht="15" customHeight="1" x14ac:dyDescent="0.4">
      <c r="A108" s="30" t="s">
        <v>636</v>
      </c>
      <c r="B108" s="30" t="str">
        <f t="shared" si="1"/>
        <v>432</v>
      </c>
      <c r="C108" s="26" t="s">
        <v>426</v>
      </c>
      <c r="D108" s="27" t="s">
        <v>421</v>
      </c>
    </row>
    <row r="109" spans="1:4" ht="15" customHeight="1" x14ac:dyDescent="0.4">
      <c r="A109" s="30" t="s">
        <v>637</v>
      </c>
      <c r="B109" s="30" t="str">
        <f t="shared" si="1"/>
        <v>433</v>
      </c>
      <c r="C109" s="26" t="s">
        <v>427</v>
      </c>
      <c r="D109" s="27" t="s">
        <v>421</v>
      </c>
    </row>
    <row r="110" spans="1:4" ht="15" customHeight="1" x14ac:dyDescent="0.4">
      <c r="A110" s="30" t="s">
        <v>638</v>
      </c>
      <c r="B110" s="30" t="str">
        <f t="shared" si="1"/>
        <v>439</v>
      </c>
      <c r="C110" s="26" t="s">
        <v>428</v>
      </c>
      <c r="D110" s="27" t="s">
        <v>421</v>
      </c>
    </row>
    <row r="111" spans="1:4" ht="15" customHeight="1" x14ac:dyDescent="0.4">
      <c r="A111" s="30" t="s">
        <v>639</v>
      </c>
      <c r="B111" s="30" t="str">
        <f t="shared" si="1"/>
        <v>451</v>
      </c>
      <c r="C111" s="26" t="s">
        <v>429</v>
      </c>
      <c r="D111" s="27" t="s">
        <v>430</v>
      </c>
    </row>
    <row r="112" spans="1:4" ht="15" customHeight="1" x14ac:dyDescent="0.4">
      <c r="A112" s="30" t="s">
        <v>640</v>
      </c>
      <c r="B112" s="30" t="str">
        <f t="shared" si="1"/>
        <v>452</v>
      </c>
      <c r="C112" s="26" t="s">
        <v>431</v>
      </c>
      <c r="D112" s="27" t="s">
        <v>430</v>
      </c>
    </row>
    <row r="113" spans="1:4" ht="15" customHeight="1" x14ac:dyDescent="0.4">
      <c r="A113" s="30" t="s">
        <v>641</v>
      </c>
      <c r="B113" s="30" t="str">
        <f t="shared" si="1"/>
        <v>453</v>
      </c>
      <c r="C113" s="26" t="s">
        <v>432</v>
      </c>
      <c r="D113" s="27" t="s">
        <v>430</v>
      </c>
    </row>
    <row r="114" spans="1:4" ht="15" customHeight="1" x14ac:dyDescent="0.4">
      <c r="A114" s="30" t="s">
        <v>642</v>
      </c>
      <c r="B114" s="30" t="str">
        <f t="shared" si="1"/>
        <v>454</v>
      </c>
      <c r="C114" s="26" t="s">
        <v>433</v>
      </c>
      <c r="D114" s="27" t="s">
        <v>430</v>
      </c>
    </row>
    <row r="115" spans="1:4" ht="15" customHeight="1" x14ac:dyDescent="0.4">
      <c r="A115" s="30" t="s">
        <v>643</v>
      </c>
      <c r="B115" s="30" t="str">
        <f t="shared" si="1"/>
        <v>461</v>
      </c>
      <c r="C115" s="26" t="s">
        <v>434</v>
      </c>
      <c r="D115" s="27" t="s">
        <v>430</v>
      </c>
    </row>
    <row r="116" spans="1:4" ht="15" customHeight="1" x14ac:dyDescent="0.4">
      <c r="A116" s="30" t="s">
        <v>644</v>
      </c>
      <c r="B116" s="30" t="str">
        <f t="shared" si="1"/>
        <v>462</v>
      </c>
      <c r="C116" s="26" t="s">
        <v>435</v>
      </c>
      <c r="D116" s="27" t="s">
        <v>430</v>
      </c>
    </row>
    <row r="117" spans="1:4" ht="15" customHeight="1" x14ac:dyDescent="0.4">
      <c r="A117" s="30" t="s">
        <v>645</v>
      </c>
      <c r="B117" s="30" t="str">
        <f t="shared" si="1"/>
        <v>463</v>
      </c>
      <c r="C117" s="26" t="s">
        <v>436</v>
      </c>
      <c r="D117" s="27" t="s">
        <v>430</v>
      </c>
    </row>
    <row r="118" spans="1:4" ht="15" customHeight="1" x14ac:dyDescent="0.4">
      <c r="A118" s="30" t="s">
        <v>646</v>
      </c>
      <c r="B118" s="30" t="str">
        <f t="shared" si="1"/>
        <v>464</v>
      </c>
      <c r="C118" s="26" t="s">
        <v>437</v>
      </c>
      <c r="D118" s="27" t="s">
        <v>430</v>
      </c>
    </row>
    <row r="119" spans="1:4" ht="15" customHeight="1" x14ac:dyDescent="0.4">
      <c r="A119" s="30" t="s">
        <v>647</v>
      </c>
      <c r="B119" s="30" t="str">
        <f t="shared" si="1"/>
        <v>465</v>
      </c>
      <c r="C119" s="26" t="s">
        <v>438</v>
      </c>
      <c r="D119" s="27" t="s">
        <v>430</v>
      </c>
    </row>
    <row r="120" spans="1:4" ht="15" customHeight="1" x14ac:dyDescent="0.4">
      <c r="A120" s="30" t="s">
        <v>648</v>
      </c>
      <c r="B120" s="30" t="str">
        <f t="shared" si="1"/>
        <v>466</v>
      </c>
      <c r="C120" s="26" t="s">
        <v>439</v>
      </c>
      <c r="D120" s="27" t="s">
        <v>430</v>
      </c>
    </row>
    <row r="121" spans="1:4" ht="15" customHeight="1" x14ac:dyDescent="0.4">
      <c r="A121" s="30" t="s">
        <v>649</v>
      </c>
      <c r="B121" s="30" t="str">
        <f t="shared" si="1"/>
        <v>469</v>
      </c>
      <c r="C121" s="26" t="s">
        <v>440</v>
      </c>
      <c r="D121" s="27" t="s">
        <v>430</v>
      </c>
    </row>
    <row r="122" spans="1:4" ht="15" customHeight="1" x14ac:dyDescent="0.4">
      <c r="A122" s="30" t="s">
        <v>650</v>
      </c>
      <c r="B122" s="30" t="str">
        <f t="shared" si="1"/>
        <v>471</v>
      </c>
      <c r="C122" s="26" t="s">
        <v>441</v>
      </c>
      <c r="D122" s="27" t="s">
        <v>430</v>
      </c>
    </row>
    <row r="123" spans="1:4" ht="15" customHeight="1" x14ac:dyDescent="0.4">
      <c r="A123" s="30" t="s">
        <v>651</v>
      </c>
      <c r="B123" s="30" t="str">
        <f t="shared" si="1"/>
        <v>472</v>
      </c>
      <c r="C123" s="26" t="s">
        <v>442</v>
      </c>
      <c r="D123" s="27" t="s">
        <v>430</v>
      </c>
    </row>
    <row r="124" spans="1:4" ht="15" customHeight="1" x14ac:dyDescent="0.4">
      <c r="A124" s="30" t="s">
        <v>652</v>
      </c>
      <c r="B124" s="30" t="str">
        <f t="shared" si="1"/>
        <v>473</v>
      </c>
      <c r="C124" s="26" t="s">
        <v>443</v>
      </c>
      <c r="D124" s="27" t="s">
        <v>430</v>
      </c>
    </row>
    <row r="125" spans="1:4" ht="15" customHeight="1" x14ac:dyDescent="0.4">
      <c r="A125" s="30" t="s">
        <v>653</v>
      </c>
      <c r="B125" s="30" t="str">
        <f t="shared" si="1"/>
        <v>474</v>
      </c>
      <c r="C125" s="26" t="s">
        <v>444</v>
      </c>
      <c r="D125" s="27" t="s">
        <v>430</v>
      </c>
    </row>
    <row r="126" spans="1:4" ht="15" customHeight="1" x14ac:dyDescent="0.4">
      <c r="A126" s="30" t="s">
        <v>654</v>
      </c>
      <c r="B126" s="30" t="str">
        <f t="shared" si="1"/>
        <v>475</v>
      </c>
      <c r="C126" s="26" t="s">
        <v>445</v>
      </c>
      <c r="D126" s="27" t="s">
        <v>430</v>
      </c>
    </row>
    <row r="127" spans="1:4" ht="15" customHeight="1" x14ac:dyDescent="0.4">
      <c r="A127" s="30" t="s">
        <v>655</v>
      </c>
      <c r="B127" s="30" t="str">
        <f t="shared" si="1"/>
        <v>476</v>
      </c>
      <c r="C127" s="26" t="s">
        <v>446</v>
      </c>
      <c r="D127" s="27" t="s">
        <v>430</v>
      </c>
    </row>
    <row r="128" spans="1:4" ht="15" customHeight="1" x14ac:dyDescent="0.4">
      <c r="A128" s="30" t="s">
        <v>656</v>
      </c>
      <c r="B128" s="30" t="str">
        <f t="shared" si="1"/>
        <v>477</v>
      </c>
      <c r="C128" s="26" t="s">
        <v>447</v>
      </c>
      <c r="D128" s="27" t="s">
        <v>430</v>
      </c>
    </row>
    <row r="129" spans="1:4" ht="15" customHeight="1" x14ac:dyDescent="0.4">
      <c r="A129" s="30" t="s">
        <v>657</v>
      </c>
      <c r="B129" s="30" t="str">
        <f t="shared" si="1"/>
        <v>478</v>
      </c>
      <c r="C129" s="26" t="s">
        <v>448</v>
      </c>
      <c r="D129" s="27" t="s">
        <v>430</v>
      </c>
    </row>
    <row r="130" spans="1:4" ht="15" customHeight="1" x14ac:dyDescent="0.4">
      <c r="A130" s="30" t="s">
        <v>658</v>
      </c>
      <c r="B130" s="30" t="str">
        <f t="shared" si="1"/>
        <v>479</v>
      </c>
      <c r="C130" s="26" t="s">
        <v>449</v>
      </c>
      <c r="D130" s="27" t="s">
        <v>430</v>
      </c>
    </row>
    <row r="131" spans="1:4" ht="15" customHeight="1" x14ac:dyDescent="0.4">
      <c r="A131" s="30" t="s">
        <v>659</v>
      </c>
      <c r="B131" s="30" t="str">
        <f t="shared" ref="B131:B194" si="2">LEFT(C131,3)</f>
        <v>491</v>
      </c>
      <c r="C131" s="26" t="s">
        <v>450</v>
      </c>
      <c r="D131" s="27" t="s">
        <v>451</v>
      </c>
    </row>
    <row r="132" spans="1:4" ht="15" customHeight="1" x14ac:dyDescent="0.4">
      <c r="A132" s="30" t="s">
        <v>660</v>
      </c>
      <c r="B132" s="30" t="str">
        <f t="shared" si="2"/>
        <v>492</v>
      </c>
      <c r="C132" s="26" t="s">
        <v>452</v>
      </c>
      <c r="D132" s="27" t="s">
        <v>451</v>
      </c>
    </row>
    <row r="133" spans="1:4" ht="15" customHeight="1" x14ac:dyDescent="0.4">
      <c r="A133" s="30" t="s">
        <v>661</v>
      </c>
      <c r="B133" s="30" t="str">
        <f t="shared" si="2"/>
        <v>493</v>
      </c>
      <c r="C133" s="26" t="s">
        <v>453</v>
      </c>
      <c r="D133" s="27" t="s">
        <v>451</v>
      </c>
    </row>
    <row r="134" spans="1:4" ht="15" customHeight="1" x14ac:dyDescent="0.4">
      <c r="A134" s="30" t="s">
        <v>662</v>
      </c>
      <c r="B134" s="30" t="str">
        <f t="shared" si="2"/>
        <v>501</v>
      </c>
      <c r="C134" s="26" t="s">
        <v>454</v>
      </c>
      <c r="D134" s="27" t="s">
        <v>451</v>
      </c>
    </row>
    <row r="135" spans="1:4" ht="15" customHeight="1" x14ac:dyDescent="0.4">
      <c r="A135" s="30" t="s">
        <v>663</v>
      </c>
      <c r="B135" s="30" t="str">
        <f t="shared" si="2"/>
        <v>502</v>
      </c>
      <c r="C135" s="26" t="s">
        <v>455</v>
      </c>
      <c r="D135" s="27" t="s">
        <v>451</v>
      </c>
    </row>
    <row r="136" spans="1:4" ht="15" customHeight="1" x14ac:dyDescent="0.4">
      <c r="A136" s="30" t="s">
        <v>664</v>
      </c>
      <c r="B136" s="30" t="str">
        <f t="shared" si="2"/>
        <v>511</v>
      </c>
      <c r="C136" s="26" t="s">
        <v>456</v>
      </c>
      <c r="D136" s="27" t="s">
        <v>451</v>
      </c>
    </row>
    <row r="137" spans="1:4" ht="15" customHeight="1" x14ac:dyDescent="0.4">
      <c r="A137" s="30" t="s">
        <v>665</v>
      </c>
      <c r="B137" s="30" t="str">
        <f t="shared" si="2"/>
        <v>512</v>
      </c>
      <c r="C137" s="26" t="s">
        <v>457</v>
      </c>
      <c r="D137" s="27" t="s">
        <v>451</v>
      </c>
    </row>
    <row r="138" spans="1:4" ht="15" customHeight="1" x14ac:dyDescent="0.4">
      <c r="A138" s="30" t="s">
        <v>666</v>
      </c>
      <c r="B138" s="30" t="str">
        <f t="shared" si="2"/>
        <v>521</v>
      </c>
      <c r="C138" s="26" t="s">
        <v>458</v>
      </c>
      <c r="D138" s="27" t="s">
        <v>451</v>
      </c>
    </row>
    <row r="139" spans="1:4" ht="15" customHeight="1" x14ac:dyDescent="0.4">
      <c r="A139" s="30" t="s">
        <v>667</v>
      </c>
      <c r="B139" s="30" t="str">
        <f t="shared" si="2"/>
        <v>522</v>
      </c>
      <c r="C139" s="26" t="s">
        <v>459</v>
      </c>
      <c r="D139" s="27" t="s">
        <v>451</v>
      </c>
    </row>
    <row r="140" spans="1:4" ht="15" customHeight="1" x14ac:dyDescent="0.4">
      <c r="A140" s="30" t="s">
        <v>668</v>
      </c>
      <c r="B140" s="30" t="str">
        <f t="shared" si="2"/>
        <v>523</v>
      </c>
      <c r="C140" s="26" t="s">
        <v>460</v>
      </c>
      <c r="D140" s="27" t="s">
        <v>451</v>
      </c>
    </row>
    <row r="141" spans="1:4" ht="15" customHeight="1" x14ac:dyDescent="0.4">
      <c r="A141" s="30" t="s">
        <v>669</v>
      </c>
      <c r="B141" s="30" t="str">
        <f t="shared" si="2"/>
        <v>524</v>
      </c>
      <c r="C141" s="26" t="s">
        <v>461</v>
      </c>
      <c r="D141" s="27" t="s">
        <v>451</v>
      </c>
    </row>
    <row r="142" spans="1:4" ht="15" customHeight="1" x14ac:dyDescent="0.4">
      <c r="A142" s="30" t="s">
        <v>670</v>
      </c>
      <c r="B142" s="30" t="str">
        <f t="shared" si="2"/>
        <v>530</v>
      </c>
      <c r="C142" s="26" t="s">
        <v>462</v>
      </c>
      <c r="D142" s="27" t="s">
        <v>451</v>
      </c>
    </row>
    <row r="143" spans="1:4" ht="15" customHeight="1" x14ac:dyDescent="0.4">
      <c r="A143" s="30" t="s">
        <v>671</v>
      </c>
      <c r="B143" s="30" t="str">
        <f t="shared" si="2"/>
        <v>551</v>
      </c>
      <c r="C143" s="26" t="s">
        <v>463</v>
      </c>
      <c r="D143" s="27" t="s">
        <v>464</v>
      </c>
    </row>
    <row r="144" spans="1:4" ht="15" customHeight="1" x14ac:dyDescent="0.4">
      <c r="A144" s="30" t="s">
        <v>672</v>
      </c>
      <c r="B144" s="30" t="str">
        <f t="shared" si="2"/>
        <v>552</v>
      </c>
      <c r="C144" s="26" t="s">
        <v>465</v>
      </c>
      <c r="D144" s="27" t="s">
        <v>464</v>
      </c>
    </row>
    <row r="145" spans="1:4" ht="15" customHeight="1" x14ac:dyDescent="0.4">
      <c r="A145" s="30" t="s">
        <v>673</v>
      </c>
      <c r="B145" s="30" t="str">
        <f t="shared" si="2"/>
        <v>561</v>
      </c>
      <c r="C145" s="26" t="s">
        <v>466</v>
      </c>
      <c r="D145" s="27" t="s">
        <v>464</v>
      </c>
    </row>
    <row r="146" spans="1:4" ht="15" customHeight="1" x14ac:dyDescent="0.4">
      <c r="A146" s="30" t="s">
        <v>674</v>
      </c>
      <c r="B146" s="30" t="str">
        <f t="shared" si="2"/>
        <v>562</v>
      </c>
      <c r="C146" s="26" t="s">
        <v>467</v>
      </c>
      <c r="D146" s="27" t="s">
        <v>464</v>
      </c>
    </row>
    <row r="147" spans="1:4" ht="15" customHeight="1" x14ac:dyDescent="0.4">
      <c r="A147" s="30" t="s">
        <v>675</v>
      </c>
      <c r="B147" s="30" t="str">
        <f t="shared" si="2"/>
        <v>581</v>
      </c>
      <c r="C147" s="26" t="s">
        <v>468</v>
      </c>
      <c r="D147" s="27" t="s">
        <v>451</v>
      </c>
    </row>
    <row r="148" spans="1:4" ht="15" customHeight="1" x14ac:dyDescent="0.4">
      <c r="A148" s="30" t="s">
        <v>676</v>
      </c>
      <c r="B148" s="30" t="str">
        <f t="shared" si="2"/>
        <v>591</v>
      </c>
      <c r="C148" s="26" t="s">
        <v>469</v>
      </c>
      <c r="D148" s="27" t="s">
        <v>451</v>
      </c>
    </row>
    <row r="149" spans="1:4" ht="15" customHeight="1" x14ac:dyDescent="0.4">
      <c r="A149" s="30" t="s">
        <v>677</v>
      </c>
      <c r="B149" s="30" t="str">
        <f t="shared" si="2"/>
        <v>592</v>
      </c>
      <c r="C149" s="26" t="s">
        <v>470</v>
      </c>
      <c r="D149" s="27" t="s">
        <v>451</v>
      </c>
    </row>
    <row r="150" spans="1:4" ht="15" customHeight="1" x14ac:dyDescent="0.4">
      <c r="A150" s="30" t="s">
        <v>678</v>
      </c>
      <c r="B150" s="30" t="str">
        <f t="shared" si="2"/>
        <v>601</v>
      </c>
      <c r="C150" s="26" t="s">
        <v>471</v>
      </c>
      <c r="D150" s="27" t="s">
        <v>451</v>
      </c>
    </row>
    <row r="151" spans="1:4" ht="15" customHeight="1" x14ac:dyDescent="0.4">
      <c r="A151" s="30" t="s">
        <v>679</v>
      </c>
      <c r="B151" s="30" t="str">
        <f t="shared" si="2"/>
        <v>602</v>
      </c>
      <c r="C151" s="26" t="s">
        <v>472</v>
      </c>
      <c r="D151" s="27" t="s">
        <v>451</v>
      </c>
    </row>
    <row r="152" spans="1:4" ht="15" customHeight="1" x14ac:dyDescent="0.4">
      <c r="A152" s="30" t="s">
        <v>680</v>
      </c>
      <c r="B152" s="30" t="str">
        <f t="shared" si="2"/>
        <v>611</v>
      </c>
      <c r="C152" s="26" t="s">
        <v>473</v>
      </c>
      <c r="D152" s="27" t="s">
        <v>451</v>
      </c>
    </row>
    <row r="153" spans="1:4" ht="15" customHeight="1" x14ac:dyDescent="0.4">
      <c r="A153" s="30" t="s">
        <v>681</v>
      </c>
      <c r="B153" s="30" t="str">
        <f t="shared" si="2"/>
        <v>612</v>
      </c>
      <c r="C153" s="26" t="s">
        <v>474</v>
      </c>
      <c r="D153" s="27" t="s">
        <v>451</v>
      </c>
    </row>
    <row r="154" spans="1:4" ht="15" customHeight="1" x14ac:dyDescent="0.4">
      <c r="A154" s="30" t="s">
        <v>682</v>
      </c>
      <c r="B154" s="30" t="str">
        <f t="shared" si="2"/>
        <v>613</v>
      </c>
      <c r="C154" s="26" t="s">
        <v>475</v>
      </c>
      <c r="D154" s="27" t="s">
        <v>451</v>
      </c>
    </row>
    <row r="155" spans="1:4" ht="15" customHeight="1" x14ac:dyDescent="0.4">
      <c r="A155" s="30" t="s">
        <v>683</v>
      </c>
      <c r="B155" s="30" t="str">
        <f t="shared" si="2"/>
        <v>614</v>
      </c>
      <c r="C155" s="26" t="s">
        <v>476</v>
      </c>
      <c r="D155" s="27" t="s">
        <v>451</v>
      </c>
    </row>
    <row r="156" spans="1:4" ht="15" customHeight="1" x14ac:dyDescent="0.4">
      <c r="A156" s="30" t="s">
        <v>684</v>
      </c>
      <c r="B156" s="30" t="str">
        <f t="shared" si="2"/>
        <v>619</v>
      </c>
      <c r="C156" s="26" t="s">
        <v>477</v>
      </c>
      <c r="D156" s="27" t="s">
        <v>451</v>
      </c>
    </row>
    <row r="157" spans="1:4" ht="15" customHeight="1" x14ac:dyDescent="0.4">
      <c r="A157" s="30" t="s">
        <v>685</v>
      </c>
      <c r="B157" s="30" t="str">
        <f t="shared" si="2"/>
        <v>620</v>
      </c>
      <c r="C157" s="26" t="s">
        <v>478</v>
      </c>
      <c r="D157" s="27" t="s">
        <v>451</v>
      </c>
    </row>
    <row r="158" spans="1:4" ht="15" customHeight="1" x14ac:dyDescent="0.4">
      <c r="A158" s="30" t="s">
        <v>686</v>
      </c>
      <c r="B158" s="30" t="str">
        <f t="shared" si="2"/>
        <v>631</v>
      </c>
      <c r="C158" s="26" t="s">
        <v>479</v>
      </c>
      <c r="D158" s="27" t="s">
        <v>451</v>
      </c>
    </row>
    <row r="159" spans="1:4" ht="15" customHeight="1" x14ac:dyDescent="0.4">
      <c r="A159" s="30" t="s">
        <v>687</v>
      </c>
      <c r="B159" s="30" t="str">
        <f t="shared" si="2"/>
        <v>639</v>
      </c>
      <c r="C159" s="26" t="s">
        <v>480</v>
      </c>
      <c r="D159" s="27" t="s">
        <v>451</v>
      </c>
    </row>
    <row r="160" spans="1:4" ht="15" customHeight="1" x14ac:dyDescent="0.4">
      <c r="A160" s="30" t="s">
        <v>688</v>
      </c>
      <c r="B160" s="30" t="str">
        <f t="shared" si="2"/>
        <v>641</v>
      </c>
      <c r="C160" s="26" t="s">
        <v>481</v>
      </c>
      <c r="D160" s="27" t="s">
        <v>482</v>
      </c>
    </row>
    <row r="161" spans="1:4" ht="15" customHeight="1" x14ac:dyDescent="0.4">
      <c r="A161" s="30" t="s">
        <v>689</v>
      </c>
      <c r="B161" s="30" t="str">
        <f t="shared" si="2"/>
        <v>642</v>
      </c>
      <c r="C161" s="26" t="s">
        <v>483</v>
      </c>
      <c r="D161" s="27" t="s">
        <v>482</v>
      </c>
    </row>
    <row r="162" spans="1:4" ht="15" customHeight="1" x14ac:dyDescent="0.4">
      <c r="A162" s="30" t="s">
        <v>690</v>
      </c>
      <c r="B162" s="30" t="str">
        <f t="shared" si="2"/>
        <v>643</v>
      </c>
      <c r="C162" s="26" t="s">
        <v>484</v>
      </c>
      <c r="D162" s="27" t="s">
        <v>482</v>
      </c>
    </row>
    <row r="163" spans="1:4" ht="15" customHeight="1" x14ac:dyDescent="0.4">
      <c r="A163" s="30" t="s">
        <v>691</v>
      </c>
      <c r="B163" s="30" t="str">
        <f t="shared" si="2"/>
        <v>649</v>
      </c>
      <c r="C163" s="26" t="s">
        <v>485</v>
      </c>
      <c r="D163" s="27" t="s">
        <v>482</v>
      </c>
    </row>
    <row r="164" spans="1:4" ht="15" customHeight="1" x14ac:dyDescent="0.4">
      <c r="A164" s="30" t="s">
        <v>692</v>
      </c>
      <c r="B164" s="30" t="str">
        <f t="shared" si="2"/>
        <v>651</v>
      </c>
      <c r="C164" s="26" t="s">
        <v>486</v>
      </c>
      <c r="D164" s="27" t="s">
        <v>482</v>
      </c>
    </row>
    <row r="165" spans="1:4" ht="15" customHeight="1" x14ac:dyDescent="0.4">
      <c r="A165" s="30" t="s">
        <v>693</v>
      </c>
      <c r="B165" s="30" t="str">
        <f t="shared" si="2"/>
        <v>652</v>
      </c>
      <c r="C165" s="26" t="s">
        <v>487</v>
      </c>
      <c r="D165" s="27" t="s">
        <v>482</v>
      </c>
    </row>
    <row r="166" spans="1:4" ht="15" customHeight="1" x14ac:dyDescent="0.4">
      <c r="A166" s="30" t="s">
        <v>694</v>
      </c>
      <c r="B166" s="30" t="str">
        <f t="shared" si="2"/>
        <v>653</v>
      </c>
      <c r="C166" s="26" t="s">
        <v>488</v>
      </c>
      <c r="D166" s="27" t="s">
        <v>482</v>
      </c>
    </row>
    <row r="167" spans="1:4" ht="15" customHeight="1" x14ac:dyDescent="0.4">
      <c r="A167" s="30" t="s">
        <v>695</v>
      </c>
      <c r="B167" s="30" t="str">
        <f t="shared" si="2"/>
        <v>661</v>
      </c>
      <c r="C167" s="26" t="s">
        <v>489</v>
      </c>
      <c r="D167" s="27" t="s">
        <v>482</v>
      </c>
    </row>
    <row r="168" spans="1:4" ht="15" customHeight="1" x14ac:dyDescent="0.4">
      <c r="A168" s="30" t="s">
        <v>696</v>
      </c>
      <c r="B168" s="30" t="str">
        <f t="shared" si="2"/>
        <v>662</v>
      </c>
      <c r="C168" s="26" t="s">
        <v>490</v>
      </c>
      <c r="D168" s="27" t="s">
        <v>482</v>
      </c>
    </row>
    <row r="169" spans="1:4" ht="15" customHeight="1" x14ac:dyDescent="0.4">
      <c r="A169" s="30" t="s">
        <v>697</v>
      </c>
      <c r="B169" s="30" t="str">
        <f t="shared" si="2"/>
        <v>663</v>
      </c>
      <c r="C169" s="26" t="s">
        <v>491</v>
      </c>
      <c r="D169" s="27" t="s">
        <v>482</v>
      </c>
    </row>
    <row r="170" spans="1:4" ht="15" customHeight="1" x14ac:dyDescent="0.4">
      <c r="A170" s="30" t="s">
        <v>698</v>
      </c>
      <c r="B170" s="30" t="str">
        <f t="shared" si="2"/>
        <v>681</v>
      </c>
      <c r="C170" s="26" t="s">
        <v>492</v>
      </c>
      <c r="D170" s="28" t="s">
        <v>493</v>
      </c>
    </row>
    <row r="171" spans="1:4" ht="15" customHeight="1" x14ac:dyDescent="0.4">
      <c r="A171" s="30" t="s">
        <v>699</v>
      </c>
      <c r="B171" s="30" t="str">
        <f t="shared" si="2"/>
        <v>682</v>
      </c>
      <c r="C171" s="26" t="s">
        <v>494</v>
      </c>
      <c r="D171" s="28" t="s">
        <v>493</v>
      </c>
    </row>
    <row r="172" spans="1:4" ht="15" customHeight="1" x14ac:dyDescent="0.4">
      <c r="A172" s="30" t="s">
        <v>700</v>
      </c>
      <c r="B172" s="30" t="str">
        <f t="shared" si="2"/>
        <v>691</v>
      </c>
      <c r="C172" s="26" t="s">
        <v>495</v>
      </c>
      <c r="D172" s="28" t="s">
        <v>493</v>
      </c>
    </row>
    <row r="173" spans="1:4" ht="15" customHeight="1" x14ac:dyDescent="0.4">
      <c r="A173" s="30" t="s">
        <v>701</v>
      </c>
      <c r="B173" s="30" t="str">
        <f t="shared" si="2"/>
        <v>692</v>
      </c>
      <c r="C173" s="26" t="s">
        <v>496</v>
      </c>
      <c r="D173" s="28" t="s">
        <v>493</v>
      </c>
    </row>
    <row r="174" spans="1:4" ht="15" customHeight="1" x14ac:dyDescent="0.4">
      <c r="A174" s="30" t="s">
        <v>702</v>
      </c>
      <c r="B174" s="30" t="str">
        <f t="shared" si="2"/>
        <v>702</v>
      </c>
      <c r="C174" s="26" t="s">
        <v>497</v>
      </c>
      <c r="D174" s="28" t="s">
        <v>493</v>
      </c>
    </row>
    <row r="175" spans="1:4" ht="15" customHeight="1" x14ac:dyDescent="0.4">
      <c r="A175" s="30" t="s">
        <v>703</v>
      </c>
      <c r="B175" s="30" t="str">
        <f t="shared" si="2"/>
        <v>711</v>
      </c>
      <c r="C175" s="26" t="s">
        <v>498</v>
      </c>
      <c r="D175" s="28" t="s">
        <v>493</v>
      </c>
    </row>
    <row r="176" spans="1:4" ht="15" customHeight="1" x14ac:dyDescent="0.4">
      <c r="A176" s="30" t="s">
        <v>704</v>
      </c>
      <c r="B176" s="30" t="str">
        <f t="shared" si="2"/>
        <v>712</v>
      </c>
      <c r="C176" s="26" t="s">
        <v>499</v>
      </c>
      <c r="D176" s="28" t="s">
        <v>493</v>
      </c>
    </row>
    <row r="177" spans="1:4" ht="15" customHeight="1" x14ac:dyDescent="0.4">
      <c r="A177" s="30" t="s">
        <v>705</v>
      </c>
      <c r="B177" s="30" t="str">
        <f t="shared" si="2"/>
        <v>721</v>
      </c>
      <c r="C177" s="26" t="s">
        <v>500</v>
      </c>
      <c r="D177" s="28" t="s">
        <v>493</v>
      </c>
    </row>
    <row r="178" spans="1:4" ht="15" customHeight="1" x14ac:dyDescent="0.4">
      <c r="A178" s="30" t="s">
        <v>706</v>
      </c>
      <c r="B178" s="30" t="str">
        <f t="shared" si="2"/>
        <v>722</v>
      </c>
      <c r="C178" s="26" t="s">
        <v>501</v>
      </c>
      <c r="D178" s="28" t="s">
        <v>493</v>
      </c>
    </row>
    <row r="179" spans="1:4" ht="15" customHeight="1" x14ac:dyDescent="0.4">
      <c r="A179" s="30" t="s">
        <v>707</v>
      </c>
      <c r="B179" s="30" t="str">
        <f t="shared" si="2"/>
        <v>731</v>
      </c>
      <c r="C179" s="26" t="s">
        <v>502</v>
      </c>
      <c r="D179" s="28" t="s">
        <v>493</v>
      </c>
    </row>
    <row r="180" spans="1:4" ht="15" customHeight="1" x14ac:dyDescent="0.4">
      <c r="A180" s="30" t="s">
        <v>708</v>
      </c>
      <c r="B180" s="30" t="str">
        <f t="shared" si="2"/>
        <v>732</v>
      </c>
      <c r="C180" s="26" t="s">
        <v>503</v>
      </c>
      <c r="D180" s="28" t="s">
        <v>493</v>
      </c>
    </row>
    <row r="181" spans="1:4" ht="15" customHeight="1" x14ac:dyDescent="0.4">
      <c r="A181" s="30" t="s">
        <v>709</v>
      </c>
      <c r="B181" s="30" t="str">
        <f t="shared" si="2"/>
        <v>741</v>
      </c>
      <c r="C181" s="26" t="s">
        <v>504</v>
      </c>
      <c r="D181" s="28" t="s">
        <v>493</v>
      </c>
    </row>
    <row r="182" spans="1:4" ht="15" customHeight="1" x14ac:dyDescent="0.4">
      <c r="A182" s="30" t="s">
        <v>710</v>
      </c>
      <c r="B182" s="30" t="str">
        <f t="shared" si="2"/>
        <v>742</v>
      </c>
      <c r="C182" s="26" t="s">
        <v>505</v>
      </c>
      <c r="D182" s="28" t="s">
        <v>493</v>
      </c>
    </row>
    <row r="183" spans="1:4" ht="15" customHeight="1" x14ac:dyDescent="0.4">
      <c r="A183" s="30" t="s">
        <v>711</v>
      </c>
      <c r="B183" s="30" t="str">
        <f t="shared" si="2"/>
        <v>749</v>
      </c>
      <c r="C183" s="26" t="s">
        <v>506</v>
      </c>
      <c r="D183" s="28" t="s">
        <v>493</v>
      </c>
    </row>
    <row r="184" spans="1:4" ht="15" customHeight="1" x14ac:dyDescent="0.4">
      <c r="A184" s="30" t="s">
        <v>712</v>
      </c>
      <c r="B184" s="30" t="str">
        <f t="shared" si="2"/>
        <v>750</v>
      </c>
      <c r="C184" s="26" t="s">
        <v>507</v>
      </c>
      <c r="D184" s="28" t="s">
        <v>493</v>
      </c>
    </row>
    <row r="185" spans="1:4" ht="15" customHeight="1" x14ac:dyDescent="0.4">
      <c r="A185" s="30" t="s">
        <v>713</v>
      </c>
      <c r="B185" s="30" t="str">
        <f t="shared" si="2"/>
        <v>771</v>
      </c>
      <c r="C185" s="26" t="s">
        <v>508</v>
      </c>
      <c r="D185" s="28" t="s">
        <v>493</v>
      </c>
    </row>
    <row r="186" spans="1:4" ht="15" customHeight="1" x14ac:dyDescent="0.4">
      <c r="A186" s="30" t="s">
        <v>714</v>
      </c>
      <c r="B186" s="30" t="str">
        <f t="shared" si="2"/>
        <v>772</v>
      </c>
      <c r="C186" s="26" t="s">
        <v>509</v>
      </c>
      <c r="D186" s="28" t="s">
        <v>493</v>
      </c>
    </row>
    <row r="187" spans="1:4" ht="15" customHeight="1" x14ac:dyDescent="0.4">
      <c r="A187" s="30" t="s">
        <v>715</v>
      </c>
      <c r="B187" s="30" t="str">
        <f t="shared" si="2"/>
        <v>773</v>
      </c>
      <c r="C187" s="26" t="s">
        <v>510</v>
      </c>
      <c r="D187" s="28" t="s">
        <v>493</v>
      </c>
    </row>
    <row r="188" spans="1:4" ht="15" customHeight="1" x14ac:dyDescent="0.4">
      <c r="A188" s="30" t="s">
        <v>716</v>
      </c>
      <c r="B188" s="30" t="str">
        <f t="shared" si="2"/>
        <v>774</v>
      </c>
      <c r="C188" s="26" t="s">
        <v>511</v>
      </c>
      <c r="D188" s="28" t="s">
        <v>493</v>
      </c>
    </row>
    <row r="189" spans="1:4" ht="15" customHeight="1" x14ac:dyDescent="0.4">
      <c r="A189" s="30" t="s">
        <v>717</v>
      </c>
      <c r="B189" s="30" t="str">
        <f t="shared" si="2"/>
        <v>780</v>
      </c>
      <c r="C189" s="26" t="s">
        <v>512</v>
      </c>
      <c r="D189" s="28" t="s">
        <v>493</v>
      </c>
    </row>
    <row r="190" spans="1:4" ht="15" customHeight="1" x14ac:dyDescent="0.4">
      <c r="A190" s="30" t="s">
        <v>718</v>
      </c>
      <c r="B190" s="30" t="str">
        <f t="shared" si="2"/>
        <v>791</v>
      </c>
      <c r="C190" s="26" t="s">
        <v>513</v>
      </c>
      <c r="D190" s="28" t="s">
        <v>493</v>
      </c>
    </row>
    <row r="191" spans="1:4" ht="15" customHeight="1" x14ac:dyDescent="0.4">
      <c r="A191" s="30" t="s">
        <v>719</v>
      </c>
      <c r="B191" s="30" t="str">
        <f t="shared" si="2"/>
        <v>801</v>
      </c>
      <c r="C191" s="26" t="s">
        <v>514</v>
      </c>
      <c r="D191" s="28" t="s">
        <v>493</v>
      </c>
    </row>
    <row r="192" spans="1:4" ht="15" customHeight="1" x14ac:dyDescent="0.4">
      <c r="A192" s="30" t="s">
        <v>720</v>
      </c>
      <c r="B192" s="30" t="str">
        <f t="shared" si="2"/>
        <v>811</v>
      </c>
      <c r="C192" s="26" t="s">
        <v>515</v>
      </c>
      <c r="D192" s="28" t="s">
        <v>493</v>
      </c>
    </row>
    <row r="193" spans="1:4" ht="15" customHeight="1" x14ac:dyDescent="0.4">
      <c r="A193" s="30" t="s">
        <v>721</v>
      </c>
      <c r="B193" s="30" t="str">
        <f t="shared" si="2"/>
        <v>812</v>
      </c>
      <c r="C193" s="26" t="s">
        <v>516</v>
      </c>
      <c r="D193" s="28" t="s">
        <v>493</v>
      </c>
    </row>
    <row r="194" spans="1:4" ht="15" customHeight="1" x14ac:dyDescent="0.4">
      <c r="A194" s="30" t="s">
        <v>722</v>
      </c>
      <c r="B194" s="30" t="str">
        <f t="shared" si="2"/>
        <v>813</v>
      </c>
      <c r="C194" s="26" t="s">
        <v>517</v>
      </c>
      <c r="D194" s="28" t="s">
        <v>493</v>
      </c>
    </row>
    <row r="195" spans="1:4" ht="15" customHeight="1" x14ac:dyDescent="0.4">
      <c r="A195" s="30" t="s">
        <v>723</v>
      </c>
      <c r="B195" s="30" t="str">
        <f t="shared" ref="B195:B224" si="3">LEFT(C195,3)</f>
        <v>821</v>
      </c>
      <c r="C195" s="26" t="s">
        <v>518</v>
      </c>
      <c r="D195" s="28" t="s">
        <v>493</v>
      </c>
    </row>
    <row r="196" spans="1:4" ht="15" customHeight="1" x14ac:dyDescent="0.4">
      <c r="A196" s="30" t="s">
        <v>724</v>
      </c>
      <c r="B196" s="30" t="str">
        <f t="shared" si="3"/>
        <v>822</v>
      </c>
      <c r="C196" s="26" t="s">
        <v>519</v>
      </c>
      <c r="D196" s="28" t="s">
        <v>493</v>
      </c>
    </row>
    <row r="197" spans="1:4" ht="15" customHeight="1" x14ac:dyDescent="0.4">
      <c r="A197" s="30" t="s">
        <v>725</v>
      </c>
      <c r="B197" s="30" t="str">
        <f t="shared" si="3"/>
        <v>823</v>
      </c>
      <c r="C197" s="26" t="s">
        <v>520</v>
      </c>
      <c r="D197" s="28" t="s">
        <v>493</v>
      </c>
    </row>
    <row r="198" spans="1:4" ht="15" customHeight="1" x14ac:dyDescent="0.4">
      <c r="A198" s="30" t="s">
        <v>726</v>
      </c>
      <c r="B198" s="30" t="str">
        <f t="shared" si="3"/>
        <v>829</v>
      </c>
      <c r="C198" s="26" t="s">
        <v>521</v>
      </c>
      <c r="D198" s="28" t="s">
        <v>493</v>
      </c>
    </row>
    <row r="199" spans="1:4" ht="15" customHeight="1" x14ac:dyDescent="0.4">
      <c r="A199" s="30" t="s">
        <v>727</v>
      </c>
      <c r="B199" s="30" t="str">
        <f t="shared" si="3"/>
        <v>841</v>
      </c>
      <c r="C199" s="26" t="s">
        <v>522</v>
      </c>
      <c r="D199" s="27" t="s">
        <v>523</v>
      </c>
    </row>
    <row r="200" spans="1:4" ht="15" customHeight="1" x14ac:dyDescent="0.4">
      <c r="A200" s="30" t="s">
        <v>728</v>
      </c>
      <c r="B200" s="30" t="str">
        <f t="shared" si="3"/>
        <v>842</v>
      </c>
      <c r="C200" s="26" t="s">
        <v>524</v>
      </c>
      <c r="D200" s="27" t="s">
        <v>523</v>
      </c>
    </row>
    <row r="201" spans="1:4" ht="15" customHeight="1" x14ac:dyDescent="0.4">
      <c r="A201" s="30" t="s">
        <v>729</v>
      </c>
      <c r="B201" s="30" t="str">
        <f t="shared" si="3"/>
        <v>843</v>
      </c>
      <c r="C201" s="26" t="s">
        <v>525</v>
      </c>
      <c r="D201" s="27" t="s">
        <v>523</v>
      </c>
    </row>
    <row r="202" spans="1:4" ht="15" customHeight="1" x14ac:dyDescent="0.4">
      <c r="A202" s="30" t="s">
        <v>730</v>
      </c>
      <c r="B202" s="30" t="str">
        <f t="shared" si="3"/>
        <v>851</v>
      </c>
      <c r="C202" s="26" t="s">
        <v>526</v>
      </c>
      <c r="D202" s="28" t="s">
        <v>527</v>
      </c>
    </row>
    <row r="203" spans="1:4" ht="15" customHeight="1" x14ac:dyDescent="0.4">
      <c r="A203" s="30" t="s">
        <v>731</v>
      </c>
      <c r="B203" s="30" t="str">
        <f t="shared" si="3"/>
        <v>852</v>
      </c>
      <c r="C203" s="26" t="s">
        <v>528</v>
      </c>
      <c r="D203" s="28" t="s">
        <v>527</v>
      </c>
    </row>
    <row r="204" spans="1:4" ht="15" customHeight="1" x14ac:dyDescent="0.4">
      <c r="A204" s="30" t="s">
        <v>732</v>
      </c>
      <c r="B204" s="30" t="str">
        <f t="shared" si="3"/>
        <v>853</v>
      </c>
      <c r="C204" s="26" t="s">
        <v>529</v>
      </c>
      <c r="D204" s="28" t="s">
        <v>527</v>
      </c>
    </row>
    <row r="205" spans="1:4" ht="15" customHeight="1" x14ac:dyDescent="0.4">
      <c r="A205" s="30" t="s">
        <v>733</v>
      </c>
      <c r="B205" s="30" t="str">
        <f t="shared" si="3"/>
        <v>854</v>
      </c>
      <c r="C205" s="26" t="s">
        <v>530</v>
      </c>
      <c r="D205" s="28" t="s">
        <v>527</v>
      </c>
    </row>
    <row r="206" spans="1:4" ht="15" customHeight="1" x14ac:dyDescent="0.4">
      <c r="A206" s="30" t="s">
        <v>734</v>
      </c>
      <c r="B206" s="30" t="str">
        <f t="shared" si="3"/>
        <v>855</v>
      </c>
      <c r="C206" s="26" t="s">
        <v>531</v>
      </c>
      <c r="D206" s="28" t="s">
        <v>527</v>
      </c>
    </row>
    <row r="207" spans="1:4" ht="15" customHeight="1" x14ac:dyDescent="0.4">
      <c r="A207" s="30" t="s">
        <v>735</v>
      </c>
      <c r="B207" s="30" t="str">
        <f t="shared" si="3"/>
        <v>861</v>
      </c>
      <c r="C207" s="26" t="s">
        <v>532</v>
      </c>
      <c r="D207" s="28" t="s">
        <v>533</v>
      </c>
    </row>
    <row r="208" spans="1:4" ht="15" customHeight="1" x14ac:dyDescent="0.4">
      <c r="A208" s="30" t="s">
        <v>736</v>
      </c>
      <c r="B208" s="30" t="str">
        <f t="shared" si="3"/>
        <v>862</v>
      </c>
      <c r="C208" s="26" t="s">
        <v>534</v>
      </c>
      <c r="D208" s="28" t="s">
        <v>533</v>
      </c>
    </row>
    <row r="209" spans="1:4" ht="15" customHeight="1" x14ac:dyDescent="0.4">
      <c r="A209" s="30" t="s">
        <v>737</v>
      </c>
      <c r="B209" s="30" t="str">
        <f t="shared" si="3"/>
        <v>863</v>
      </c>
      <c r="C209" s="26" t="s">
        <v>535</v>
      </c>
      <c r="D209" s="28" t="s">
        <v>533</v>
      </c>
    </row>
    <row r="210" spans="1:4" ht="15" customHeight="1" x14ac:dyDescent="0.4">
      <c r="A210" s="30" t="s">
        <v>738</v>
      </c>
      <c r="B210" s="30" t="str">
        <f t="shared" si="3"/>
        <v>864</v>
      </c>
      <c r="C210" s="26" t="s">
        <v>536</v>
      </c>
      <c r="D210" s="28" t="s">
        <v>533</v>
      </c>
    </row>
    <row r="211" spans="1:4" ht="15" customHeight="1" x14ac:dyDescent="0.4">
      <c r="A211" s="30" t="s">
        <v>739</v>
      </c>
      <c r="B211" s="30" t="str">
        <f t="shared" si="3"/>
        <v>869</v>
      </c>
      <c r="C211" s="26" t="s">
        <v>537</v>
      </c>
      <c r="D211" s="28" t="s">
        <v>533</v>
      </c>
    </row>
    <row r="212" spans="1:4" ht="15" customHeight="1" x14ac:dyDescent="0.4">
      <c r="A212" s="30" t="s">
        <v>740</v>
      </c>
      <c r="B212" s="30" t="str">
        <f t="shared" si="3"/>
        <v>870</v>
      </c>
      <c r="C212" s="26" t="s">
        <v>538</v>
      </c>
      <c r="D212" s="28" t="s">
        <v>533</v>
      </c>
    </row>
    <row r="213" spans="1:4" ht="15" customHeight="1" x14ac:dyDescent="0.4">
      <c r="A213" s="30" t="s">
        <v>741</v>
      </c>
      <c r="B213" s="30" t="str">
        <f t="shared" si="3"/>
        <v>880</v>
      </c>
      <c r="C213" s="26" t="s">
        <v>539</v>
      </c>
      <c r="D213" s="28" t="s">
        <v>533</v>
      </c>
    </row>
    <row r="214" spans="1:4" ht="15" customHeight="1" x14ac:dyDescent="0.4">
      <c r="A214" s="30" t="s">
        <v>742</v>
      </c>
      <c r="B214" s="30" t="str">
        <f t="shared" si="3"/>
        <v>900</v>
      </c>
      <c r="C214" s="26" t="s">
        <v>540</v>
      </c>
      <c r="D214" s="28" t="s">
        <v>533</v>
      </c>
    </row>
    <row r="215" spans="1:4" ht="15" customHeight="1" x14ac:dyDescent="0.4">
      <c r="A215" s="30" t="s">
        <v>743</v>
      </c>
      <c r="B215" s="30" t="str">
        <f t="shared" si="3"/>
        <v>910</v>
      </c>
      <c r="C215" s="26" t="s">
        <v>541</v>
      </c>
      <c r="D215" s="28" t="s">
        <v>533</v>
      </c>
    </row>
    <row r="216" spans="1:4" ht="15" customHeight="1" x14ac:dyDescent="0.4">
      <c r="A216" s="30" t="s">
        <v>744</v>
      </c>
      <c r="B216" s="30" t="str">
        <f t="shared" si="3"/>
        <v>920</v>
      </c>
      <c r="C216" s="26" t="s">
        <v>542</v>
      </c>
      <c r="D216" s="28" t="s">
        <v>533</v>
      </c>
    </row>
    <row r="217" spans="1:4" ht="15" customHeight="1" x14ac:dyDescent="0.4">
      <c r="A217" s="30" t="s">
        <v>745</v>
      </c>
      <c r="B217" s="30" t="str">
        <f t="shared" si="3"/>
        <v>931</v>
      </c>
      <c r="C217" s="26" t="s">
        <v>543</v>
      </c>
      <c r="D217" s="28" t="s">
        <v>533</v>
      </c>
    </row>
    <row r="218" spans="1:4" ht="15" customHeight="1" x14ac:dyDescent="0.4">
      <c r="A218" s="30" t="s">
        <v>746</v>
      </c>
      <c r="B218" s="30" t="str">
        <f t="shared" si="3"/>
        <v>939</v>
      </c>
      <c r="C218" s="26" t="s">
        <v>544</v>
      </c>
      <c r="D218" s="28" t="s">
        <v>533</v>
      </c>
    </row>
    <row r="219" spans="1:4" ht="15" customHeight="1" x14ac:dyDescent="0.4">
      <c r="A219" s="30" t="s">
        <v>747</v>
      </c>
      <c r="B219" s="30" t="str">
        <f t="shared" si="3"/>
        <v>941</v>
      </c>
      <c r="C219" s="26" t="s">
        <v>545</v>
      </c>
      <c r="D219" s="28" t="s">
        <v>533</v>
      </c>
    </row>
    <row r="220" spans="1:4" ht="15" customHeight="1" x14ac:dyDescent="0.4">
      <c r="A220" s="30" t="s">
        <v>748</v>
      </c>
      <c r="B220" s="30" t="str">
        <f t="shared" si="3"/>
        <v>942</v>
      </c>
      <c r="C220" s="26" t="s">
        <v>546</v>
      </c>
      <c r="D220" s="28" t="s">
        <v>533</v>
      </c>
    </row>
    <row r="221" spans="1:4" ht="15" customHeight="1" x14ac:dyDescent="0.4">
      <c r="A221" s="30" t="s">
        <v>749</v>
      </c>
      <c r="B221" s="30" t="str">
        <f t="shared" si="3"/>
        <v>949</v>
      </c>
      <c r="C221" s="26" t="s">
        <v>547</v>
      </c>
      <c r="D221" s="28" t="s">
        <v>533</v>
      </c>
    </row>
    <row r="222" spans="1:4" ht="15" customHeight="1" x14ac:dyDescent="0.4">
      <c r="A222" s="30" t="s">
        <v>750</v>
      </c>
      <c r="B222" s="30" t="str">
        <f t="shared" si="3"/>
        <v>951</v>
      </c>
      <c r="C222" s="26" t="s">
        <v>548</v>
      </c>
      <c r="D222" s="28" t="s">
        <v>533</v>
      </c>
    </row>
    <row r="223" spans="1:4" ht="15" customHeight="1" x14ac:dyDescent="0.4">
      <c r="A223" s="30" t="s">
        <v>751</v>
      </c>
      <c r="B223" s="30" t="str">
        <f t="shared" si="3"/>
        <v>952</v>
      </c>
      <c r="C223" s="26" t="s">
        <v>549</v>
      </c>
      <c r="D223" s="28" t="s">
        <v>533</v>
      </c>
    </row>
    <row r="224" spans="1:4" ht="15" customHeight="1" x14ac:dyDescent="0.4">
      <c r="A224" s="30" t="s">
        <v>752</v>
      </c>
      <c r="B224" s="30" t="str">
        <f t="shared" si="3"/>
        <v>960</v>
      </c>
      <c r="C224" s="26" t="s">
        <v>550</v>
      </c>
      <c r="D224" s="28" t="s">
        <v>533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7FA1-6739-4E16-ABEC-290E083BEEA4}">
  <sheetPr>
    <tabColor theme="6"/>
  </sheetPr>
  <dimension ref="A1:D396"/>
  <sheetViews>
    <sheetView workbookViewId="0">
      <pane ySplit="1" topLeftCell="A2" activePane="bottomLeft" state="frozen"/>
      <selection pane="bottomLeft" activeCell="G12" sqref="G12"/>
    </sheetView>
  </sheetViews>
  <sheetFormatPr baseColWidth="10" defaultRowHeight="14.5" x14ac:dyDescent="0.35"/>
  <cols>
    <col min="1" max="1" width="11.453125" style="4"/>
    <col min="2" max="2" width="29.453125" style="4" customWidth="1"/>
    <col min="3" max="3" width="31.54296875" style="4" customWidth="1"/>
    <col min="4" max="4" width="18.81640625" style="5" bestFit="1" customWidth="1"/>
  </cols>
  <sheetData>
    <row r="1" spans="1:4" s="1" customFormat="1" x14ac:dyDescent="0.35">
      <c r="A1" s="2" t="s">
        <v>72</v>
      </c>
      <c r="B1" s="2" t="s">
        <v>294</v>
      </c>
      <c r="C1" s="2" t="s">
        <v>295</v>
      </c>
      <c r="D1" s="3" t="s">
        <v>70</v>
      </c>
    </row>
    <row r="2" spans="1:4" x14ac:dyDescent="0.35">
      <c r="A2" s="4">
        <v>0</v>
      </c>
      <c r="B2" s="6">
        <v>62541791564</v>
      </c>
      <c r="C2" s="6">
        <v>6854484094</v>
      </c>
      <c r="D2" s="5">
        <v>0.10959846084654699</v>
      </c>
    </row>
    <row r="3" spans="1:4" x14ac:dyDescent="0.35">
      <c r="A3" s="4">
        <v>0</v>
      </c>
      <c r="B3" s="6">
        <v>574496028</v>
      </c>
      <c r="C3" s="6">
        <v>105219837</v>
      </c>
      <c r="D3" s="5">
        <v>0.18315154826449001</v>
      </c>
    </row>
    <row r="4" spans="1:4" x14ac:dyDescent="0.35">
      <c r="A4" s="4">
        <v>11</v>
      </c>
      <c r="B4" s="6">
        <v>6368816432</v>
      </c>
      <c r="C4" s="6">
        <v>170103112</v>
      </c>
      <c r="D4" s="5">
        <v>2.6708747820916898E-2</v>
      </c>
    </row>
    <row r="5" spans="1:4" x14ac:dyDescent="0.35">
      <c r="A5" s="4">
        <v>11</v>
      </c>
      <c r="B5" s="6">
        <v>2627575</v>
      </c>
      <c r="C5" s="6">
        <v>115789</v>
      </c>
      <c r="D5" s="5">
        <v>4.40668677392652E-2</v>
      </c>
    </row>
    <row r="6" spans="1:4" x14ac:dyDescent="0.35">
      <c r="A6" s="4">
        <v>12</v>
      </c>
      <c r="B6" s="6">
        <v>614364343</v>
      </c>
      <c r="C6" s="6">
        <v>20850754</v>
      </c>
      <c r="D6" s="5">
        <v>3.3938743739885299E-2</v>
      </c>
    </row>
    <row r="7" spans="1:4" x14ac:dyDescent="0.35">
      <c r="A7" s="4">
        <v>12</v>
      </c>
      <c r="B7" s="6">
        <v>482422</v>
      </c>
      <c r="C7" s="6">
        <v>0</v>
      </c>
      <c r="D7" s="5">
        <v>0</v>
      </c>
    </row>
    <row r="8" spans="1:4" x14ac:dyDescent="0.35">
      <c r="A8" s="4">
        <v>13</v>
      </c>
      <c r="B8" s="6">
        <v>610326960</v>
      </c>
      <c r="C8" s="6">
        <v>9382330</v>
      </c>
      <c r="D8" s="5">
        <v>1.5372629123248899E-2</v>
      </c>
    </row>
    <row r="9" spans="1:4" x14ac:dyDescent="0.35">
      <c r="A9" s="4">
        <v>13</v>
      </c>
      <c r="B9" s="6">
        <v>56972</v>
      </c>
      <c r="C9" s="6">
        <v>18655</v>
      </c>
      <c r="D9" s="5">
        <v>0.32744155023520299</v>
      </c>
    </row>
    <row r="10" spans="1:4" x14ac:dyDescent="0.35">
      <c r="A10" s="4">
        <v>14</v>
      </c>
      <c r="B10" s="6">
        <v>2748779585</v>
      </c>
      <c r="C10" s="6">
        <v>69568184</v>
      </c>
      <c r="D10" s="5">
        <v>2.5308753157085102E-2</v>
      </c>
    </row>
    <row r="11" spans="1:4" x14ac:dyDescent="0.35">
      <c r="A11" s="4">
        <v>14</v>
      </c>
      <c r="B11" s="6">
        <v>666876</v>
      </c>
      <c r="C11" s="6">
        <v>226523</v>
      </c>
      <c r="D11" s="5">
        <v>0.33967784115787603</v>
      </c>
    </row>
    <row r="12" spans="1:4" x14ac:dyDescent="0.35">
      <c r="A12" s="4">
        <v>16</v>
      </c>
      <c r="B12" s="6">
        <v>1165155534</v>
      </c>
      <c r="C12" s="6">
        <v>60071354</v>
      </c>
      <c r="D12" s="5">
        <v>5.15565109095555E-2</v>
      </c>
    </row>
    <row r="13" spans="1:4" x14ac:dyDescent="0.35">
      <c r="A13" s="4">
        <v>16</v>
      </c>
      <c r="B13" s="6">
        <v>294287</v>
      </c>
      <c r="C13" s="6">
        <v>0</v>
      </c>
      <c r="D13" s="5">
        <v>0</v>
      </c>
    </row>
    <row r="14" spans="1:4" x14ac:dyDescent="0.35">
      <c r="A14" s="4">
        <v>17</v>
      </c>
      <c r="B14" s="6">
        <v>2138744</v>
      </c>
      <c r="C14" s="6">
        <v>19880</v>
      </c>
      <c r="D14" s="5">
        <v>9.2951751121218805E-3</v>
      </c>
    </row>
    <row r="15" spans="1:4" x14ac:dyDescent="0.35">
      <c r="A15" s="4">
        <v>17</v>
      </c>
      <c r="B15" s="6">
        <v>1539676</v>
      </c>
      <c r="C15" s="6">
        <v>5950</v>
      </c>
      <c r="D15" s="5">
        <v>3.86444940364076E-3</v>
      </c>
    </row>
    <row r="16" spans="1:4" x14ac:dyDescent="0.35">
      <c r="A16" s="4">
        <v>21</v>
      </c>
      <c r="B16" s="6">
        <v>4204003</v>
      </c>
      <c r="C16" s="6">
        <v>314580</v>
      </c>
      <c r="D16" s="5">
        <v>7.4828681140332198E-2</v>
      </c>
    </row>
    <row r="17" spans="1:4" x14ac:dyDescent="0.35">
      <c r="A17" s="4">
        <v>21</v>
      </c>
      <c r="B17" s="6">
        <v>4634</v>
      </c>
      <c r="C17" s="6">
        <v>0</v>
      </c>
      <c r="D17" s="5">
        <v>0</v>
      </c>
    </row>
    <row r="18" spans="1:4" x14ac:dyDescent="0.35">
      <c r="A18" s="4">
        <v>22</v>
      </c>
      <c r="B18" s="6">
        <v>35422930</v>
      </c>
      <c r="C18" s="6">
        <v>4393447</v>
      </c>
      <c r="D18" s="5">
        <v>0.12402833418918099</v>
      </c>
    </row>
    <row r="19" spans="1:4" x14ac:dyDescent="0.35">
      <c r="A19" s="4">
        <v>22</v>
      </c>
      <c r="B19" s="6">
        <v>4410</v>
      </c>
      <c r="C19" s="6">
        <v>0</v>
      </c>
      <c r="D19" s="5">
        <v>0</v>
      </c>
    </row>
    <row r="20" spans="1:4" x14ac:dyDescent="0.35">
      <c r="A20" s="4">
        <v>24</v>
      </c>
      <c r="B20" s="6">
        <v>11819269</v>
      </c>
      <c r="C20" s="6">
        <v>89795</v>
      </c>
      <c r="D20" s="5">
        <v>7.59733956473957E-3</v>
      </c>
    </row>
    <row r="21" spans="1:4" x14ac:dyDescent="0.35">
      <c r="A21" s="4">
        <v>31</v>
      </c>
      <c r="B21" s="6">
        <v>91170020</v>
      </c>
      <c r="C21" s="6">
        <v>4130327</v>
      </c>
      <c r="D21" s="5">
        <v>4.5303565799371302E-2</v>
      </c>
    </row>
    <row r="22" spans="1:4" x14ac:dyDescent="0.35">
      <c r="A22" s="4">
        <v>31</v>
      </c>
      <c r="B22" s="6">
        <v>32113</v>
      </c>
      <c r="C22" s="6">
        <v>0</v>
      </c>
      <c r="D22" s="5">
        <v>0</v>
      </c>
    </row>
    <row r="23" spans="1:4" x14ac:dyDescent="0.35">
      <c r="A23" s="4">
        <v>32</v>
      </c>
      <c r="B23" s="6">
        <v>10738332</v>
      </c>
      <c r="C23" s="6">
        <v>367750</v>
      </c>
      <c r="D23" s="5">
        <v>3.4246473288402697E-2</v>
      </c>
    </row>
    <row r="24" spans="1:4" x14ac:dyDescent="0.35">
      <c r="A24" s="4">
        <v>51</v>
      </c>
      <c r="B24" s="6">
        <v>804004</v>
      </c>
      <c r="C24" s="6">
        <v>3456</v>
      </c>
      <c r="D24" s="5">
        <v>4.2984860771836898E-3</v>
      </c>
    </row>
    <row r="25" spans="1:4" x14ac:dyDescent="0.35">
      <c r="A25" s="4">
        <v>52</v>
      </c>
      <c r="B25" s="6">
        <v>85729</v>
      </c>
      <c r="C25" s="6">
        <v>3451</v>
      </c>
      <c r="D25" s="5">
        <v>4.0254756266840802E-2</v>
      </c>
    </row>
    <row r="26" spans="1:4" x14ac:dyDescent="0.35">
      <c r="A26" s="4">
        <v>61</v>
      </c>
      <c r="B26" s="6">
        <v>4534962988</v>
      </c>
      <c r="C26" s="6">
        <v>14824049</v>
      </c>
      <c r="D26" s="5">
        <v>3.2688357191064201E-3</v>
      </c>
    </row>
    <row r="27" spans="1:4" x14ac:dyDescent="0.35">
      <c r="A27" s="4">
        <v>61</v>
      </c>
      <c r="B27" s="6">
        <v>46657</v>
      </c>
      <c r="C27" s="6">
        <v>40000</v>
      </c>
      <c r="D27" s="5">
        <v>0.85732044494931003</v>
      </c>
    </row>
    <row r="28" spans="1:4" x14ac:dyDescent="0.35">
      <c r="A28" s="4">
        <v>62</v>
      </c>
      <c r="B28" s="6">
        <v>1433046</v>
      </c>
      <c r="C28" s="6">
        <v>40789</v>
      </c>
      <c r="D28" s="5">
        <v>2.8463147728684201E-2</v>
      </c>
    </row>
    <row r="29" spans="1:4" x14ac:dyDescent="0.35">
      <c r="A29" s="4">
        <v>71</v>
      </c>
      <c r="B29" s="6">
        <v>3779514</v>
      </c>
      <c r="C29" s="6">
        <v>175779</v>
      </c>
      <c r="D29" s="5">
        <v>4.6508360598743602E-2</v>
      </c>
    </row>
    <row r="30" spans="1:4" x14ac:dyDescent="0.35">
      <c r="A30" s="4">
        <v>72</v>
      </c>
      <c r="B30" s="6">
        <v>237905491</v>
      </c>
      <c r="C30" s="6">
        <v>564677</v>
      </c>
      <c r="D30" s="5">
        <v>2.3735349597290198E-3</v>
      </c>
    </row>
    <row r="31" spans="1:4" x14ac:dyDescent="0.35">
      <c r="A31" s="4">
        <v>81</v>
      </c>
      <c r="B31" s="6">
        <v>108355813</v>
      </c>
      <c r="C31" s="6">
        <v>976226</v>
      </c>
      <c r="D31" s="5">
        <v>9.0094474211549602E-3</v>
      </c>
    </row>
    <row r="32" spans="1:4" x14ac:dyDescent="0.35">
      <c r="A32" s="4">
        <v>81</v>
      </c>
      <c r="B32" s="6">
        <v>99319</v>
      </c>
      <c r="C32" s="6">
        <v>0</v>
      </c>
      <c r="D32" s="5">
        <v>0</v>
      </c>
    </row>
    <row r="33" spans="1:4" x14ac:dyDescent="0.35">
      <c r="A33" s="4">
        <v>89</v>
      </c>
      <c r="B33" s="6">
        <v>85098458</v>
      </c>
      <c r="C33" s="6">
        <v>152892</v>
      </c>
      <c r="D33" s="5">
        <v>1.79664830119483E-3</v>
      </c>
    </row>
    <row r="34" spans="1:4" x14ac:dyDescent="0.35">
      <c r="A34" s="4">
        <v>89</v>
      </c>
      <c r="B34" s="6">
        <v>67851</v>
      </c>
      <c r="C34" s="6">
        <v>0</v>
      </c>
      <c r="D34" s="5">
        <v>0</v>
      </c>
    </row>
    <row r="35" spans="1:4" x14ac:dyDescent="0.35">
      <c r="A35" s="4">
        <v>91</v>
      </c>
      <c r="B35" s="6">
        <v>472454751</v>
      </c>
      <c r="C35" s="6">
        <v>1164438</v>
      </c>
      <c r="D35" s="5">
        <v>2.4646550755079602E-3</v>
      </c>
    </row>
    <row r="36" spans="1:4" x14ac:dyDescent="0.35">
      <c r="A36" s="4">
        <v>91</v>
      </c>
      <c r="B36" s="6">
        <v>1033708</v>
      </c>
      <c r="C36" s="6">
        <v>0</v>
      </c>
      <c r="D36" s="5">
        <v>0</v>
      </c>
    </row>
    <row r="37" spans="1:4" x14ac:dyDescent="0.35">
      <c r="A37" s="4">
        <v>99</v>
      </c>
      <c r="B37" s="6">
        <v>40513150</v>
      </c>
      <c r="C37" s="6">
        <v>2535999</v>
      </c>
      <c r="D37" s="5">
        <v>6.2596934575563701E-2</v>
      </c>
    </row>
    <row r="38" spans="1:4" x14ac:dyDescent="0.35">
      <c r="A38" s="4">
        <v>99</v>
      </c>
      <c r="B38" s="6">
        <v>60398</v>
      </c>
      <c r="C38" s="6">
        <v>0</v>
      </c>
      <c r="D38" s="5">
        <v>0</v>
      </c>
    </row>
    <row r="39" spans="1:4" x14ac:dyDescent="0.35">
      <c r="A39" s="4">
        <v>101</v>
      </c>
      <c r="B39" s="6">
        <v>2897741905</v>
      </c>
      <c r="C39" s="6">
        <v>64587255</v>
      </c>
      <c r="D39" s="5">
        <v>2.22888225098846E-2</v>
      </c>
    </row>
    <row r="40" spans="1:4" x14ac:dyDescent="0.35">
      <c r="A40" s="4">
        <v>101</v>
      </c>
      <c r="B40" s="6">
        <v>523921</v>
      </c>
      <c r="C40" s="6">
        <v>0</v>
      </c>
      <c r="D40" s="5">
        <v>0</v>
      </c>
    </row>
    <row r="41" spans="1:4" x14ac:dyDescent="0.35">
      <c r="A41" s="4">
        <v>102</v>
      </c>
      <c r="B41" s="6">
        <v>112603220</v>
      </c>
      <c r="C41" s="6">
        <v>13012346</v>
      </c>
      <c r="D41" s="5">
        <v>0.115559270862769</v>
      </c>
    </row>
    <row r="42" spans="1:4" x14ac:dyDescent="0.35">
      <c r="A42" s="4">
        <v>102</v>
      </c>
      <c r="B42" s="6">
        <v>406490</v>
      </c>
      <c r="C42" s="6">
        <v>192</v>
      </c>
      <c r="D42" s="5">
        <v>4.7233634283746199E-4</v>
      </c>
    </row>
    <row r="43" spans="1:4" x14ac:dyDescent="0.35">
      <c r="A43" s="4">
        <v>103</v>
      </c>
      <c r="B43" s="6">
        <v>531783040</v>
      </c>
      <c r="C43" s="6">
        <v>762272</v>
      </c>
      <c r="D43" s="5">
        <v>1.4334266846870399E-3</v>
      </c>
    </row>
    <row r="44" spans="1:4" x14ac:dyDescent="0.35">
      <c r="A44" s="4">
        <v>104</v>
      </c>
      <c r="B44" s="6">
        <v>737087077</v>
      </c>
      <c r="C44" s="6">
        <v>15529989</v>
      </c>
      <c r="D44" s="5">
        <v>2.1069408872569299E-2</v>
      </c>
    </row>
    <row r="45" spans="1:4" x14ac:dyDescent="0.35">
      <c r="A45" s="4">
        <v>104</v>
      </c>
      <c r="B45" s="6">
        <v>540964</v>
      </c>
      <c r="C45" s="6">
        <v>0</v>
      </c>
      <c r="D45" s="5">
        <v>0</v>
      </c>
    </row>
    <row r="46" spans="1:4" x14ac:dyDescent="0.35">
      <c r="A46" s="4">
        <v>105</v>
      </c>
      <c r="B46" s="6">
        <v>558796134</v>
      </c>
      <c r="C46" s="6">
        <v>8141452</v>
      </c>
      <c r="D46" s="5">
        <v>1.45696283575218E-2</v>
      </c>
    </row>
    <row r="47" spans="1:4" x14ac:dyDescent="0.35">
      <c r="A47" s="4">
        <v>105</v>
      </c>
      <c r="B47" s="6">
        <v>37747</v>
      </c>
      <c r="C47" s="6">
        <v>387</v>
      </c>
      <c r="D47" s="5">
        <v>1.02524703949982E-2</v>
      </c>
    </row>
    <row r="48" spans="1:4" x14ac:dyDescent="0.35">
      <c r="A48" s="4">
        <v>106</v>
      </c>
      <c r="B48" s="6">
        <v>439206048</v>
      </c>
      <c r="C48" s="6">
        <v>115940991</v>
      </c>
      <c r="D48" s="5">
        <v>0.26397858483041597</v>
      </c>
    </row>
    <row r="49" spans="1:4" x14ac:dyDescent="0.35">
      <c r="A49" s="4">
        <v>106</v>
      </c>
      <c r="B49" s="6">
        <v>484216</v>
      </c>
      <c r="C49" s="6">
        <v>0</v>
      </c>
      <c r="D49" s="5">
        <v>0</v>
      </c>
    </row>
    <row r="50" spans="1:4" x14ac:dyDescent="0.35">
      <c r="A50" s="4">
        <v>107</v>
      </c>
      <c r="B50" s="6">
        <v>1678691792</v>
      </c>
      <c r="C50" s="6">
        <v>17909515</v>
      </c>
      <c r="D50" s="5">
        <v>1.06687332870452E-2</v>
      </c>
    </row>
    <row r="51" spans="1:4" x14ac:dyDescent="0.35">
      <c r="A51" s="4">
        <v>107</v>
      </c>
      <c r="B51" s="6">
        <v>1289711</v>
      </c>
      <c r="C51" s="6">
        <v>17235</v>
      </c>
      <c r="D51" s="5">
        <v>1.3363458945453601E-2</v>
      </c>
    </row>
    <row r="52" spans="1:4" x14ac:dyDescent="0.35">
      <c r="A52" s="4">
        <v>108</v>
      </c>
      <c r="B52" s="6">
        <v>164943744</v>
      </c>
      <c r="C52" s="6">
        <v>12485335</v>
      </c>
      <c r="D52" s="5">
        <v>7.5694504666997203E-2</v>
      </c>
    </row>
    <row r="53" spans="1:4" x14ac:dyDescent="0.35">
      <c r="A53" s="4">
        <v>108</v>
      </c>
      <c r="B53" s="6">
        <v>27032</v>
      </c>
      <c r="C53" s="6">
        <v>0</v>
      </c>
      <c r="D53" s="5">
        <v>0</v>
      </c>
    </row>
    <row r="54" spans="1:4" x14ac:dyDescent="0.35">
      <c r="A54" s="4">
        <v>109</v>
      </c>
      <c r="B54" s="6">
        <v>3491345</v>
      </c>
      <c r="C54" s="6">
        <v>104630</v>
      </c>
      <c r="D54" s="5">
        <v>2.9968393269642499E-2</v>
      </c>
    </row>
    <row r="55" spans="1:4" x14ac:dyDescent="0.35">
      <c r="A55" s="4">
        <v>110</v>
      </c>
      <c r="B55" s="6">
        <v>823500554</v>
      </c>
      <c r="C55" s="6">
        <v>50567715</v>
      </c>
      <c r="D55" s="5">
        <v>6.1405805684497397E-2</v>
      </c>
    </row>
    <row r="56" spans="1:4" x14ac:dyDescent="0.35">
      <c r="A56" s="4">
        <v>110</v>
      </c>
      <c r="B56" s="6">
        <v>37997</v>
      </c>
      <c r="C56" s="6">
        <v>0</v>
      </c>
      <c r="D56" s="5">
        <v>0</v>
      </c>
    </row>
    <row r="57" spans="1:4" x14ac:dyDescent="0.35">
      <c r="A57" s="4">
        <v>120</v>
      </c>
      <c r="B57" s="6">
        <v>158422478</v>
      </c>
      <c r="C57" s="6">
        <v>697902</v>
      </c>
      <c r="D57" s="5">
        <v>4.4053218256060803E-3</v>
      </c>
    </row>
    <row r="58" spans="1:4" x14ac:dyDescent="0.35">
      <c r="A58" s="4">
        <v>120</v>
      </c>
      <c r="B58" s="6">
        <v>147228</v>
      </c>
      <c r="C58" s="6">
        <v>0</v>
      </c>
      <c r="D58" s="5">
        <v>0</v>
      </c>
    </row>
    <row r="59" spans="1:4" x14ac:dyDescent="0.35">
      <c r="A59" s="4">
        <v>131</v>
      </c>
      <c r="B59" s="6">
        <v>270565000</v>
      </c>
      <c r="C59" s="6">
        <v>15277393</v>
      </c>
      <c r="D59" s="5">
        <v>5.6464779258218897E-2</v>
      </c>
    </row>
    <row r="60" spans="1:4" x14ac:dyDescent="0.35">
      <c r="A60" s="4">
        <v>131</v>
      </c>
      <c r="B60" s="6">
        <v>23005</v>
      </c>
      <c r="C60" s="6">
        <v>0</v>
      </c>
      <c r="D60" s="5">
        <v>0</v>
      </c>
    </row>
    <row r="61" spans="1:4" x14ac:dyDescent="0.35">
      <c r="A61" s="4">
        <v>139</v>
      </c>
      <c r="B61" s="6">
        <v>216847716</v>
      </c>
      <c r="C61" s="6">
        <v>14345041</v>
      </c>
      <c r="D61" s="5">
        <v>6.6152603608700206E-2</v>
      </c>
    </row>
    <row r="62" spans="1:4" x14ac:dyDescent="0.35">
      <c r="A62" s="4">
        <v>139</v>
      </c>
      <c r="B62" s="6">
        <v>2812</v>
      </c>
      <c r="C62" s="6">
        <v>0</v>
      </c>
      <c r="D62" s="5">
        <v>0</v>
      </c>
    </row>
    <row r="63" spans="1:4" x14ac:dyDescent="0.35">
      <c r="A63" s="4">
        <v>141</v>
      </c>
      <c r="B63" s="6">
        <v>234742217</v>
      </c>
      <c r="C63" s="6">
        <v>16494615</v>
      </c>
      <c r="D63" s="5">
        <v>7.0266930298268401E-2</v>
      </c>
    </row>
    <row r="64" spans="1:4" x14ac:dyDescent="0.35">
      <c r="A64" s="4">
        <v>141</v>
      </c>
      <c r="B64" s="6">
        <v>639170</v>
      </c>
      <c r="C64" s="6">
        <v>325457</v>
      </c>
      <c r="D64" s="5">
        <v>0.50918691427945595</v>
      </c>
    </row>
    <row r="65" spans="1:4" x14ac:dyDescent="0.35">
      <c r="A65" s="4">
        <v>142</v>
      </c>
      <c r="B65" s="6">
        <v>129038</v>
      </c>
      <c r="C65" s="6">
        <v>0</v>
      </c>
      <c r="D65" s="5">
        <v>0</v>
      </c>
    </row>
    <row r="66" spans="1:4" x14ac:dyDescent="0.35">
      <c r="A66" s="4">
        <v>143</v>
      </c>
      <c r="B66" s="6">
        <v>15992810</v>
      </c>
      <c r="C66" s="6">
        <v>935614</v>
      </c>
      <c r="D66" s="5">
        <v>5.8502164410131799E-2</v>
      </c>
    </row>
    <row r="67" spans="1:4" x14ac:dyDescent="0.35">
      <c r="A67" s="4">
        <v>143</v>
      </c>
      <c r="B67" s="6">
        <v>22498</v>
      </c>
      <c r="C67" s="6">
        <v>0</v>
      </c>
      <c r="D67" s="5">
        <v>0</v>
      </c>
    </row>
    <row r="68" spans="1:4" x14ac:dyDescent="0.35">
      <c r="A68" s="4">
        <v>149</v>
      </c>
      <c r="B68" s="6">
        <v>2787748</v>
      </c>
      <c r="C68" s="6">
        <v>559136</v>
      </c>
      <c r="D68" s="5">
        <v>0.20056906147901399</v>
      </c>
    </row>
    <row r="69" spans="1:4" x14ac:dyDescent="0.35">
      <c r="A69" s="4">
        <v>151</v>
      </c>
      <c r="B69" s="6">
        <v>106377644</v>
      </c>
      <c r="C69" s="6">
        <v>38893844</v>
      </c>
      <c r="D69" s="5">
        <v>0.36562046815024402</v>
      </c>
    </row>
    <row r="70" spans="1:4" x14ac:dyDescent="0.35">
      <c r="A70" s="4">
        <v>152</v>
      </c>
      <c r="B70" s="6">
        <v>88942140</v>
      </c>
      <c r="C70" s="6">
        <v>6361670</v>
      </c>
      <c r="D70" s="5">
        <v>7.1525938098633501E-2</v>
      </c>
    </row>
    <row r="71" spans="1:4" x14ac:dyDescent="0.35">
      <c r="A71" s="4">
        <v>152</v>
      </c>
      <c r="B71" s="6">
        <v>236249</v>
      </c>
      <c r="C71" s="6">
        <v>0</v>
      </c>
      <c r="D71" s="5">
        <v>0</v>
      </c>
    </row>
    <row r="72" spans="1:4" x14ac:dyDescent="0.35">
      <c r="A72" s="4">
        <v>161</v>
      </c>
      <c r="B72" s="6">
        <v>89055350</v>
      </c>
      <c r="C72" s="6">
        <v>1458614</v>
      </c>
      <c r="D72" s="5">
        <v>1.6378735247236601E-2</v>
      </c>
    </row>
    <row r="73" spans="1:4" x14ac:dyDescent="0.35">
      <c r="A73" s="4">
        <v>161</v>
      </c>
      <c r="B73" s="6">
        <v>188105</v>
      </c>
      <c r="C73" s="6">
        <v>161666</v>
      </c>
      <c r="D73" s="5">
        <v>0.859445522447569</v>
      </c>
    </row>
    <row r="74" spans="1:4" x14ac:dyDescent="0.35">
      <c r="A74" s="4">
        <v>162</v>
      </c>
      <c r="B74" s="6">
        <v>140132922</v>
      </c>
      <c r="C74" s="6">
        <v>7716001</v>
      </c>
      <c r="D74" s="5">
        <v>5.50620146206613E-2</v>
      </c>
    </row>
    <row r="75" spans="1:4" x14ac:dyDescent="0.35">
      <c r="A75" s="4">
        <v>162</v>
      </c>
      <c r="B75" s="6">
        <v>405897</v>
      </c>
      <c r="C75" s="6">
        <v>0</v>
      </c>
      <c r="D75" s="5">
        <v>0</v>
      </c>
    </row>
    <row r="76" spans="1:4" x14ac:dyDescent="0.35">
      <c r="A76" s="4">
        <v>170</v>
      </c>
      <c r="B76" s="6">
        <v>365306923</v>
      </c>
      <c r="C76" s="6">
        <v>43206540</v>
      </c>
      <c r="D76" s="5">
        <v>0.118274626840291</v>
      </c>
    </row>
    <row r="77" spans="1:4" x14ac:dyDescent="0.35">
      <c r="A77" s="4">
        <v>170</v>
      </c>
      <c r="B77" s="6">
        <v>22563</v>
      </c>
      <c r="C77" s="6">
        <v>0</v>
      </c>
      <c r="D77" s="5">
        <v>0</v>
      </c>
    </row>
    <row r="78" spans="1:4" x14ac:dyDescent="0.35">
      <c r="A78" s="4">
        <v>181</v>
      </c>
      <c r="B78" s="6">
        <v>109654346</v>
      </c>
      <c r="C78" s="6">
        <v>10420598</v>
      </c>
      <c r="D78" s="5">
        <v>9.5031326893327106E-2</v>
      </c>
    </row>
    <row r="79" spans="1:4" x14ac:dyDescent="0.35">
      <c r="A79" s="4">
        <v>181</v>
      </c>
      <c r="B79" s="6">
        <v>168637</v>
      </c>
      <c r="C79" s="6">
        <v>0</v>
      </c>
      <c r="D79" s="5">
        <v>0</v>
      </c>
    </row>
    <row r="80" spans="1:4" x14ac:dyDescent="0.35">
      <c r="A80" s="4">
        <v>182</v>
      </c>
      <c r="B80" s="6">
        <v>1882513</v>
      </c>
      <c r="C80" s="6">
        <v>10329</v>
      </c>
      <c r="D80" s="5">
        <v>5.4868146992875996E-3</v>
      </c>
    </row>
    <row r="81" spans="1:4" x14ac:dyDescent="0.35">
      <c r="A81" s="4">
        <v>182</v>
      </c>
      <c r="B81" s="6">
        <v>25907</v>
      </c>
      <c r="C81" s="6">
        <v>0</v>
      </c>
      <c r="D81" s="5">
        <v>0</v>
      </c>
    </row>
    <row r="82" spans="1:4" x14ac:dyDescent="0.35">
      <c r="A82" s="4">
        <v>191</v>
      </c>
      <c r="B82" s="6">
        <v>28164302</v>
      </c>
      <c r="C82" s="6">
        <v>2450887</v>
      </c>
      <c r="D82" s="5">
        <v>8.70210452934356E-2</v>
      </c>
    </row>
    <row r="83" spans="1:4" x14ac:dyDescent="0.35">
      <c r="A83" s="4">
        <v>192</v>
      </c>
      <c r="B83" s="6">
        <v>2641035912</v>
      </c>
      <c r="C83" s="6">
        <v>34912581</v>
      </c>
      <c r="D83" s="5">
        <v>1.32192753765174E-2</v>
      </c>
    </row>
    <row r="84" spans="1:4" x14ac:dyDescent="0.35">
      <c r="A84" s="4">
        <v>201</v>
      </c>
      <c r="B84" s="6">
        <v>908118577</v>
      </c>
      <c r="C84" s="6">
        <v>18650123</v>
      </c>
      <c r="D84" s="5">
        <v>2.0537101070667699E-2</v>
      </c>
    </row>
    <row r="85" spans="1:4" x14ac:dyDescent="0.35">
      <c r="A85" s="4">
        <v>201</v>
      </c>
      <c r="B85" s="6">
        <v>98324</v>
      </c>
      <c r="C85" s="6">
        <v>0</v>
      </c>
      <c r="D85" s="5">
        <v>0</v>
      </c>
    </row>
    <row r="86" spans="1:4" x14ac:dyDescent="0.35">
      <c r="A86" s="4">
        <v>202</v>
      </c>
      <c r="B86" s="6">
        <v>1210918683</v>
      </c>
      <c r="C86" s="6">
        <v>65566283</v>
      </c>
      <c r="D86" s="5">
        <v>5.4145900893660497E-2</v>
      </c>
    </row>
    <row r="87" spans="1:4" x14ac:dyDescent="0.35">
      <c r="A87" s="4">
        <v>202</v>
      </c>
      <c r="B87" s="6">
        <v>407767</v>
      </c>
      <c r="C87" s="6">
        <v>90031</v>
      </c>
      <c r="D87" s="5">
        <v>0.220790304266897</v>
      </c>
    </row>
    <row r="88" spans="1:4" x14ac:dyDescent="0.35">
      <c r="A88" s="4">
        <v>203</v>
      </c>
      <c r="B88" s="6">
        <v>7231538</v>
      </c>
      <c r="C88" s="6">
        <v>1256141</v>
      </c>
      <c r="D88" s="5">
        <v>0.173703159687468</v>
      </c>
    </row>
    <row r="89" spans="1:4" x14ac:dyDescent="0.35">
      <c r="A89" s="4">
        <v>204</v>
      </c>
      <c r="B89" s="6">
        <v>5843317</v>
      </c>
      <c r="C89" s="6">
        <v>11216</v>
      </c>
      <c r="D89" s="5">
        <v>1.9194577326542401E-3</v>
      </c>
    </row>
    <row r="90" spans="1:4" x14ac:dyDescent="0.35">
      <c r="A90" s="4">
        <v>210</v>
      </c>
      <c r="B90" s="6">
        <v>991828831</v>
      </c>
      <c r="C90" s="6">
        <v>31097887</v>
      </c>
      <c r="D90" s="5">
        <v>3.1354086539958602E-2</v>
      </c>
    </row>
    <row r="91" spans="1:4" x14ac:dyDescent="0.35">
      <c r="A91" s="4">
        <v>210</v>
      </c>
      <c r="B91" s="6">
        <v>94662</v>
      </c>
      <c r="C91" s="6">
        <v>0</v>
      </c>
      <c r="D91" s="5">
        <v>0</v>
      </c>
    </row>
    <row r="92" spans="1:4" x14ac:dyDescent="0.35">
      <c r="A92" s="4">
        <v>221</v>
      </c>
      <c r="B92" s="6">
        <v>63308619</v>
      </c>
      <c r="C92" s="6">
        <v>1679277</v>
      </c>
      <c r="D92" s="5">
        <v>2.6525250850914901E-2</v>
      </c>
    </row>
    <row r="93" spans="1:4" x14ac:dyDescent="0.35">
      <c r="A93" s="4">
        <v>222</v>
      </c>
      <c r="B93" s="6">
        <v>430218172</v>
      </c>
      <c r="C93" s="6">
        <v>8474995</v>
      </c>
      <c r="D93" s="5">
        <v>1.96992957331425E-2</v>
      </c>
    </row>
    <row r="94" spans="1:4" x14ac:dyDescent="0.35">
      <c r="A94" s="4">
        <v>222</v>
      </c>
      <c r="B94" s="6">
        <v>1198846</v>
      </c>
      <c r="C94" s="6">
        <v>0</v>
      </c>
      <c r="D94" s="5">
        <v>0</v>
      </c>
    </row>
    <row r="95" spans="1:4" x14ac:dyDescent="0.35">
      <c r="A95" s="4">
        <v>231</v>
      </c>
      <c r="B95" s="6">
        <v>70375690</v>
      </c>
      <c r="C95" s="6">
        <v>1914923</v>
      </c>
      <c r="D95" s="5">
        <v>2.72100067509107E-2</v>
      </c>
    </row>
    <row r="96" spans="1:4" x14ac:dyDescent="0.35">
      <c r="A96" s="4">
        <v>239</v>
      </c>
      <c r="B96" s="6">
        <v>576556556</v>
      </c>
      <c r="C96" s="6">
        <v>24843372</v>
      </c>
      <c r="D96" s="5">
        <v>4.3089219507548099E-2</v>
      </c>
    </row>
    <row r="97" spans="1:4" x14ac:dyDescent="0.35">
      <c r="A97" s="4">
        <v>239</v>
      </c>
      <c r="B97" s="6">
        <v>80315</v>
      </c>
      <c r="C97" s="6">
        <v>60000</v>
      </c>
      <c r="D97" s="5">
        <v>0.747058457324285</v>
      </c>
    </row>
    <row r="98" spans="1:4" x14ac:dyDescent="0.35">
      <c r="A98" s="4">
        <v>241</v>
      </c>
      <c r="B98" s="6">
        <v>470760252</v>
      </c>
      <c r="C98" s="6">
        <v>2015159</v>
      </c>
      <c r="D98" s="5">
        <v>4.2806481461395698E-3</v>
      </c>
    </row>
    <row r="99" spans="1:4" x14ac:dyDescent="0.35">
      <c r="A99" s="4">
        <v>242</v>
      </c>
      <c r="B99" s="6">
        <v>238815019</v>
      </c>
      <c r="C99" s="6">
        <v>278630</v>
      </c>
      <c r="D99" s="5">
        <v>1.1667189156139199E-3</v>
      </c>
    </row>
    <row r="100" spans="1:4" x14ac:dyDescent="0.35">
      <c r="A100" s="4">
        <v>243</v>
      </c>
      <c r="B100" s="6">
        <v>130858675</v>
      </c>
      <c r="C100" s="6">
        <v>1499678</v>
      </c>
      <c r="D100" s="5">
        <v>1.1460287214431901E-2</v>
      </c>
    </row>
    <row r="101" spans="1:4" x14ac:dyDescent="0.35">
      <c r="A101" s="4">
        <v>243</v>
      </c>
      <c r="B101" s="6">
        <v>199459</v>
      </c>
      <c r="C101" s="6">
        <v>0</v>
      </c>
      <c r="D101" s="5">
        <v>0</v>
      </c>
    </row>
    <row r="102" spans="1:4" x14ac:dyDescent="0.35">
      <c r="A102" s="4">
        <v>251</v>
      </c>
      <c r="B102" s="6">
        <v>139486412</v>
      </c>
      <c r="C102" s="6">
        <v>4945843</v>
      </c>
      <c r="D102" s="5">
        <v>3.5457525425487302E-2</v>
      </c>
    </row>
    <row r="103" spans="1:4" x14ac:dyDescent="0.35">
      <c r="A103" s="4">
        <v>251</v>
      </c>
      <c r="B103" s="6">
        <v>537127</v>
      </c>
      <c r="C103" s="6">
        <v>0</v>
      </c>
      <c r="D103" s="5">
        <v>0</v>
      </c>
    </row>
    <row r="104" spans="1:4" x14ac:dyDescent="0.35">
      <c r="A104" s="4">
        <v>252</v>
      </c>
      <c r="B104" s="6">
        <v>261545</v>
      </c>
      <c r="C104" s="6">
        <v>0</v>
      </c>
      <c r="D104" s="5">
        <v>0</v>
      </c>
    </row>
    <row r="105" spans="1:4" x14ac:dyDescent="0.35">
      <c r="A105" s="4">
        <v>252</v>
      </c>
      <c r="B105" s="6">
        <v>21182</v>
      </c>
      <c r="C105" s="6">
        <v>0</v>
      </c>
      <c r="D105" s="5">
        <v>0</v>
      </c>
    </row>
    <row r="106" spans="1:4" x14ac:dyDescent="0.35">
      <c r="A106" s="4">
        <v>259</v>
      </c>
      <c r="B106" s="6">
        <v>443039336</v>
      </c>
      <c r="C106" s="6">
        <v>8486541</v>
      </c>
      <c r="D106" s="5">
        <v>1.91552765418554E-2</v>
      </c>
    </row>
    <row r="107" spans="1:4" x14ac:dyDescent="0.35">
      <c r="A107" s="4">
        <v>259</v>
      </c>
      <c r="B107" s="6">
        <v>638525</v>
      </c>
      <c r="C107" s="6">
        <v>0</v>
      </c>
      <c r="D107" s="5">
        <v>0</v>
      </c>
    </row>
    <row r="108" spans="1:4" x14ac:dyDescent="0.35">
      <c r="A108" s="4">
        <v>261</v>
      </c>
      <c r="B108" s="6">
        <v>10842489</v>
      </c>
      <c r="C108" s="6">
        <v>676575</v>
      </c>
      <c r="D108" s="5">
        <v>6.2400339995733398E-2</v>
      </c>
    </row>
    <row r="109" spans="1:4" x14ac:dyDescent="0.35">
      <c r="A109" s="4">
        <v>261</v>
      </c>
      <c r="B109" s="6">
        <v>218156</v>
      </c>
      <c r="C109" s="6">
        <v>0</v>
      </c>
      <c r="D109" s="5">
        <v>0</v>
      </c>
    </row>
    <row r="110" spans="1:4" x14ac:dyDescent="0.35">
      <c r="A110" s="4">
        <v>262</v>
      </c>
      <c r="B110" s="6">
        <v>94530821</v>
      </c>
      <c r="C110" s="6">
        <v>1381392</v>
      </c>
      <c r="D110" s="5">
        <v>1.46131387137746E-2</v>
      </c>
    </row>
    <row r="111" spans="1:4" x14ac:dyDescent="0.35">
      <c r="A111" s="4">
        <v>262</v>
      </c>
      <c r="B111" s="6">
        <v>1145</v>
      </c>
      <c r="C111" s="6">
        <v>0</v>
      </c>
      <c r="D111" s="5">
        <v>0</v>
      </c>
    </row>
    <row r="112" spans="1:4" x14ac:dyDescent="0.35">
      <c r="A112" s="4">
        <v>263</v>
      </c>
      <c r="B112" s="6">
        <v>193960277</v>
      </c>
      <c r="C112" s="6">
        <v>460132</v>
      </c>
      <c r="D112" s="5">
        <v>2.3723001797940299E-3</v>
      </c>
    </row>
    <row r="113" spans="1:4" x14ac:dyDescent="0.35">
      <c r="A113" s="4">
        <v>264</v>
      </c>
      <c r="B113" s="6">
        <v>639650884</v>
      </c>
      <c r="C113" s="6">
        <v>8384</v>
      </c>
      <c r="D113" s="5">
        <v>1.3107149868333399E-5</v>
      </c>
    </row>
    <row r="114" spans="1:4" x14ac:dyDescent="0.35">
      <c r="A114" s="4">
        <v>265</v>
      </c>
      <c r="B114" s="6">
        <v>11353819</v>
      </c>
      <c r="C114" s="6">
        <v>179703</v>
      </c>
      <c r="D114" s="5">
        <v>1.5827537853122301E-2</v>
      </c>
    </row>
    <row r="115" spans="1:4" x14ac:dyDescent="0.35">
      <c r="A115" s="4">
        <v>266</v>
      </c>
      <c r="B115" s="6">
        <v>36410349</v>
      </c>
      <c r="C115" s="6">
        <v>492646</v>
      </c>
      <c r="D115" s="5">
        <v>1.35303839026645E-2</v>
      </c>
    </row>
    <row r="116" spans="1:4" x14ac:dyDescent="0.35">
      <c r="A116" s="4">
        <v>266</v>
      </c>
      <c r="B116" s="6">
        <v>28676</v>
      </c>
      <c r="C116" s="6">
        <v>0</v>
      </c>
      <c r="D116" s="5">
        <v>0</v>
      </c>
    </row>
    <row r="117" spans="1:4" x14ac:dyDescent="0.35">
      <c r="A117" s="4">
        <v>267</v>
      </c>
      <c r="B117" s="6">
        <v>8591452</v>
      </c>
      <c r="C117" s="6">
        <v>27234</v>
      </c>
      <c r="D117" s="5">
        <v>3.1698949141542002E-3</v>
      </c>
    </row>
    <row r="118" spans="1:4" x14ac:dyDescent="0.35">
      <c r="A118" s="4">
        <v>268</v>
      </c>
      <c r="B118" s="6">
        <v>12640243</v>
      </c>
      <c r="C118" s="6">
        <v>857856</v>
      </c>
      <c r="D118" s="5">
        <v>6.7867049707826005E-2</v>
      </c>
    </row>
    <row r="119" spans="1:4" x14ac:dyDescent="0.35">
      <c r="A119" s="4">
        <v>271</v>
      </c>
      <c r="B119" s="6">
        <v>65194044</v>
      </c>
      <c r="C119" s="6">
        <v>8721403</v>
      </c>
      <c r="D119" s="5">
        <v>0.133776070096219</v>
      </c>
    </row>
    <row r="120" spans="1:4" x14ac:dyDescent="0.35">
      <c r="A120" s="4">
        <v>272</v>
      </c>
      <c r="B120" s="6">
        <v>33630099</v>
      </c>
      <c r="C120" s="6">
        <v>2969356</v>
      </c>
      <c r="D120" s="5">
        <v>8.8294595861879502E-2</v>
      </c>
    </row>
    <row r="121" spans="1:4" x14ac:dyDescent="0.35">
      <c r="A121" s="4">
        <v>273</v>
      </c>
      <c r="B121" s="6">
        <v>34868414</v>
      </c>
      <c r="C121" s="6">
        <v>5084</v>
      </c>
      <c r="D121" s="5">
        <v>1.4580531251005499E-4</v>
      </c>
    </row>
    <row r="122" spans="1:4" x14ac:dyDescent="0.35">
      <c r="A122" s="4">
        <v>274</v>
      </c>
      <c r="B122" s="6">
        <v>58903385</v>
      </c>
      <c r="C122" s="6">
        <v>423916</v>
      </c>
      <c r="D122" s="5">
        <v>7.1968020174052799E-3</v>
      </c>
    </row>
    <row r="123" spans="1:4" x14ac:dyDescent="0.35">
      <c r="A123" s="4">
        <v>275</v>
      </c>
      <c r="B123" s="6">
        <v>456526748</v>
      </c>
      <c r="C123" s="6">
        <v>756352</v>
      </c>
      <c r="D123" s="5">
        <v>1.65675287004212E-3</v>
      </c>
    </row>
    <row r="124" spans="1:4" x14ac:dyDescent="0.35">
      <c r="A124" s="4">
        <v>275</v>
      </c>
      <c r="B124" s="6">
        <v>44440</v>
      </c>
      <c r="C124" s="6">
        <v>0</v>
      </c>
      <c r="D124" s="5">
        <v>0</v>
      </c>
    </row>
    <row r="125" spans="1:4" x14ac:dyDescent="0.35">
      <c r="A125" s="4">
        <v>279</v>
      </c>
      <c r="B125" s="6">
        <v>60256675</v>
      </c>
      <c r="C125" s="6">
        <v>617426</v>
      </c>
      <c r="D125" s="5">
        <v>1.0246599235686301E-2</v>
      </c>
    </row>
    <row r="126" spans="1:4" x14ac:dyDescent="0.35">
      <c r="A126" s="4">
        <v>279</v>
      </c>
      <c r="B126" s="6">
        <v>376</v>
      </c>
      <c r="C126" s="6">
        <v>0</v>
      </c>
      <c r="D126" s="5">
        <v>0</v>
      </c>
    </row>
    <row r="127" spans="1:4" x14ac:dyDescent="0.35">
      <c r="A127" s="4">
        <v>281</v>
      </c>
      <c r="B127" s="6">
        <v>405676722</v>
      </c>
      <c r="C127" s="6">
        <v>2090054</v>
      </c>
      <c r="D127" s="5">
        <v>5.1520185572787097E-3</v>
      </c>
    </row>
    <row r="128" spans="1:4" x14ac:dyDescent="0.35">
      <c r="A128" s="4">
        <v>281</v>
      </c>
      <c r="B128" s="6">
        <v>9917</v>
      </c>
      <c r="C128" s="6">
        <v>0</v>
      </c>
      <c r="D128" s="5">
        <v>0</v>
      </c>
    </row>
    <row r="129" spans="1:4" x14ac:dyDescent="0.35">
      <c r="A129" s="4">
        <v>282</v>
      </c>
      <c r="B129" s="6">
        <v>555791822</v>
      </c>
      <c r="C129" s="6">
        <v>2387188</v>
      </c>
      <c r="D129" s="5">
        <v>4.2951117765816999E-3</v>
      </c>
    </row>
    <row r="130" spans="1:4" x14ac:dyDescent="0.35">
      <c r="A130" s="4">
        <v>282</v>
      </c>
      <c r="B130" s="6">
        <v>317409</v>
      </c>
      <c r="C130" s="6">
        <v>0</v>
      </c>
      <c r="D130" s="5">
        <v>0</v>
      </c>
    </row>
    <row r="131" spans="1:4" x14ac:dyDescent="0.35">
      <c r="A131" s="4">
        <v>291</v>
      </c>
      <c r="B131" s="6">
        <v>2209547732</v>
      </c>
      <c r="C131" s="6">
        <v>713276</v>
      </c>
      <c r="D131" s="5">
        <v>3.2281538419374502E-4</v>
      </c>
    </row>
    <row r="132" spans="1:4" x14ac:dyDescent="0.35">
      <c r="A132" s="4">
        <v>292</v>
      </c>
      <c r="B132" s="6">
        <v>173217451</v>
      </c>
      <c r="C132" s="6">
        <v>257051</v>
      </c>
      <c r="D132" s="5">
        <v>1.4839786552453E-3</v>
      </c>
    </row>
    <row r="133" spans="1:4" x14ac:dyDescent="0.35">
      <c r="A133" s="4">
        <v>293</v>
      </c>
      <c r="B133" s="6">
        <v>222919528</v>
      </c>
      <c r="C133" s="6">
        <v>2690352</v>
      </c>
      <c r="D133" s="5">
        <v>1.2068713872388901E-2</v>
      </c>
    </row>
    <row r="134" spans="1:4" x14ac:dyDescent="0.35">
      <c r="A134" s="4">
        <v>293</v>
      </c>
      <c r="B134" s="6">
        <v>173816</v>
      </c>
      <c r="C134" s="6">
        <v>0</v>
      </c>
      <c r="D134" s="5">
        <v>0</v>
      </c>
    </row>
    <row r="135" spans="1:4" x14ac:dyDescent="0.35">
      <c r="A135" s="4">
        <v>301</v>
      </c>
      <c r="B135" s="6">
        <v>14460627</v>
      </c>
      <c r="C135" s="6">
        <v>186003</v>
      </c>
      <c r="D135" s="5">
        <v>1.2862720267938501E-2</v>
      </c>
    </row>
    <row r="136" spans="1:4" x14ac:dyDescent="0.35">
      <c r="A136" s="4">
        <v>301</v>
      </c>
      <c r="B136" s="6">
        <v>218671</v>
      </c>
      <c r="C136" s="6">
        <v>14797</v>
      </c>
      <c r="D136" s="5">
        <v>6.7667866338014596E-2</v>
      </c>
    </row>
    <row r="137" spans="1:4" x14ac:dyDescent="0.35">
      <c r="A137" s="4">
        <v>302</v>
      </c>
      <c r="B137" s="6">
        <v>846674</v>
      </c>
      <c r="C137" s="6">
        <v>446344</v>
      </c>
      <c r="D137" s="5">
        <v>0.52717338668720104</v>
      </c>
    </row>
    <row r="138" spans="1:4" x14ac:dyDescent="0.35">
      <c r="A138" s="4">
        <v>303</v>
      </c>
      <c r="B138" s="6">
        <v>21600133</v>
      </c>
      <c r="C138" s="6">
        <v>861</v>
      </c>
      <c r="D138" s="5">
        <v>3.9860865671521501E-5</v>
      </c>
    </row>
    <row r="139" spans="1:4" x14ac:dyDescent="0.35">
      <c r="A139" s="4">
        <v>309</v>
      </c>
      <c r="B139" s="6">
        <v>189176301</v>
      </c>
      <c r="C139" s="6">
        <v>639838</v>
      </c>
      <c r="D139" s="5">
        <v>3.3822312658497301E-3</v>
      </c>
    </row>
    <row r="140" spans="1:4" x14ac:dyDescent="0.35">
      <c r="A140" s="4">
        <v>310</v>
      </c>
      <c r="B140" s="6">
        <v>147019424</v>
      </c>
      <c r="C140" s="6">
        <v>12379941</v>
      </c>
      <c r="D140" s="5">
        <v>8.4206159044671505E-2</v>
      </c>
    </row>
    <row r="141" spans="1:4" x14ac:dyDescent="0.35">
      <c r="A141" s="4">
        <v>310</v>
      </c>
      <c r="B141" s="6">
        <v>185081</v>
      </c>
      <c r="C141" s="6">
        <v>0</v>
      </c>
      <c r="D141" s="5">
        <v>0</v>
      </c>
    </row>
    <row r="142" spans="1:4" x14ac:dyDescent="0.35">
      <c r="A142" s="4">
        <v>321</v>
      </c>
      <c r="B142" s="6">
        <v>477951</v>
      </c>
      <c r="C142" s="6">
        <v>38323</v>
      </c>
      <c r="D142" s="5">
        <v>8.0181859646700104E-2</v>
      </c>
    </row>
    <row r="143" spans="1:4" x14ac:dyDescent="0.35">
      <c r="A143" s="4">
        <v>322</v>
      </c>
      <c r="B143" s="6">
        <v>1973309</v>
      </c>
      <c r="C143" s="6">
        <v>10913</v>
      </c>
      <c r="D143" s="5">
        <v>5.5303046811219104E-3</v>
      </c>
    </row>
    <row r="144" spans="1:4" x14ac:dyDescent="0.35">
      <c r="A144" s="4">
        <v>322</v>
      </c>
      <c r="B144" s="6">
        <v>0</v>
      </c>
      <c r="C144" s="6">
        <v>0</v>
      </c>
    </row>
    <row r="145" spans="1:4" x14ac:dyDescent="0.35">
      <c r="A145" s="4">
        <v>323</v>
      </c>
      <c r="B145" s="6">
        <v>4039011</v>
      </c>
      <c r="C145" s="6">
        <v>167688</v>
      </c>
      <c r="D145" s="5">
        <v>4.1517094159931697E-2</v>
      </c>
    </row>
    <row r="146" spans="1:4" x14ac:dyDescent="0.35">
      <c r="A146" s="4">
        <v>324</v>
      </c>
      <c r="B146" s="6">
        <v>4662430</v>
      </c>
      <c r="C146" s="6">
        <v>59315</v>
      </c>
      <c r="D146" s="5">
        <v>1.27219068168315E-2</v>
      </c>
    </row>
    <row r="147" spans="1:4" x14ac:dyDescent="0.35">
      <c r="A147" s="4">
        <v>329</v>
      </c>
      <c r="B147" s="6">
        <v>348211311</v>
      </c>
      <c r="C147" s="6">
        <v>4724691</v>
      </c>
      <c r="D147" s="5">
        <v>1.3568459296831901E-2</v>
      </c>
    </row>
    <row r="148" spans="1:4" x14ac:dyDescent="0.35">
      <c r="A148" s="4">
        <v>329</v>
      </c>
      <c r="B148" s="6">
        <v>331600</v>
      </c>
      <c r="C148" s="6">
        <v>0</v>
      </c>
      <c r="D148" s="5">
        <v>0</v>
      </c>
    </row>
    <row r="149" spans="1:4" x14ac:dyDescent="0.35">
      <c r="A149" s="4">
        <v>331</v>
      </c>
      <c r="B149" s="6">
        <v>59372526</v>
      </c>
      <c r="C149" s="6">
        <v>1886751</v>
      </c>
      <c r="D149" s="5">
        <v>3.1778183060629697E-2</v>
      </c>
    </row>
    <row r="150" spans="1:4" x14ac:dyDescent="0.35">
      <c r="A150" s="4">
        <v>331</v>
      </c>
      <c r="B150" s="6">
        <v>58443</v>
      </c>
      <c r="C150" s="6">
        <v>0</v>
      </c>
      <c r="D150" s="5">
        <v>0</v>
      </c>
    </row>
    <row r="151" spans="1:4" x14ac:dyDescent="0.35">
      <c r="A151" s="4">
        <v>332</v>
      </c>
      <c r="B151" s="6">
        <v>8948962</v>
      </c>
      <c r="C151" s="6">
        <v>331271</v>
      </c>
      <c r="D151" s="5">
        <v>3.70178127921428E-2</v>
      </c>
    </row>
    <row r="152" spans="1:4" x14ac:dyDescent="0.35">
      <c r="A152" s="4">
        <v>332</v>
      </c>
      <c r="B152" s="6">
        <v>88482</v>
      </c>
      <c r="C152" s="6">
        <v>0</v>
      </c>
      <c r="D152" s="5">
        <v>0</v>
      </c>
    </row>
    <row r="153" spans="1:4" x14ac:dyDescent="0.35">
      <c r="A153" s="4">
        <v>351</v>
      </c>
      <c r="B153" s="6">
        <v>2677664311</v>
      </c>
      <c r="C153" s="6">
        <v>1737919</v>
      </c>
      <c r="D153" s="5">
        <v>6.4904289640061602E-4</v>
      </c>
    </row>
    <row r="154" spans="1:4" x14ac:dyDescent="0.35">
      <c r="A154" s="4">
        <v>351</v>
      </c>
      <c r="B154" s="6">
        <v>44073</v>
      </c>
      <c r="C154" s="6">
        <v>0</v>
      </c>
      <c r="D154" s="5">
        <v>0</v>
      </c>
    </row>
    <row r="155" spans="1:4" x14ac:dyDescent="0.35">
      <c r="A155" s="4">
        <v>352</v>
      </c>
      <c r="B155" s="6">
        <v>251049036</v>
      </c>
      <c r="C155" s="6">
        <v>2832694</v>
      </c>
      <c r="D155" s="5">
        <v>1.1283429106654599E-2</v>
      </c>
    </row>
    <row r="156" spans="1:4" x14ac:dyDescent="0.35">
      <c r="A156" s="4">
        <v>353</v>
      </c>
      <c r="B156" s="6">
        <v>1910083</v>
      </c>
      <c r="C156" s="6">
        <v>1416</v>
      </c>
      <c r="D156" s="5">
        <v>7.4132904172227005E-4</v>
      </c>
    </row>
    <row r="157" spans="1:4" x14ac:dyDescent="0.35">
      <c r="A157" s="4">
        <v>360</v>
      </c>
      <c r="B157" s="6">
        <v>23272542</v>
      </c>
      <c r="C157" s="6">
        <v>575531</v>
      </c>
      <c r="D157" s="5">
        <v>2.4730044530588802E-2</v>
      </c>
    </row>
    <row r="158" spans="1:4" x14ac:dyDescent="0.35">
      <c r="A158" s="4">
        <v>360</v>
      </c>
      <c r="B158" s="6">
        <v>2179</v>
      </c>
      <c r="C158" s="6">
        <v>0</v>
      </c>
      <c r="D158" s="5">
        <v>0</v>
      </c>
    </row>
    <row r="159" spans="1:4" x14ac:dyDescent="0.35">
      <c r="A159" s="4">
        <v>370</v>
      </c>
      <c r="B159" s="6">
        <v>11072866</v>
      </c>
      <c r="C159" s="6">
        <v>873341</v>
      </c>
      <c r="D159" s="5">
        <v>7.8872172750938996E-2</v>
      </c>
    </row>
    <row r="160" spans="1:4" x14ac:dyDescent="0.35">
      <c r="A160" s="4">
        <v>370</v>
      </c>
      <c r="B160" s="6">
        <v>4060</v>
      </c>
      <c r="C160" s="6">
        <v>0</v>
      </c>
      <c r="D160" s="5">
        <v>0</v>
      </c>
    </row>
    <row r="161" spans="1:4" x14ac:dyDescent="0.35">
      <c r="A161" s="4">
        <v>381</v>
      </c>
      <c r="B161" s="6">
        <v>138315834</v>
      </c>
      <c r="C161" s="6">
        <v>3919035</v>
      </c>
      <c r="D161" s="5">
        <v>2.8333957773771502E-2</v>
      </c>
    </row>
    <row r="162" spans="1:4" x14ac:dyDescent="0.35">
      <c r="A162" s="4">
        <v>381</v>
      </c>
      <c r="B162" s="6">
        <v>57577</v>
      </c>
      <c r="C162" s="6">
        <v>0</v>
      </c>
      <c r="D162" s="5">
        <v>0</v>
      </c>
    </row>
    <row r="163" spans="1:4" x14ac:dyDescent="0.35">
      <c r="A163" s="4">
        <v>382</v>
      </c>
      <c r="B163" s="6">
        <v>20928969</v>
      </c>
      <c r="C163" s="6">
        <v>842518</v>
      </c>
      <c r="D163" s="5">
        <v>4.02560680366051E-2</v>
      </c>
    </row>
    <row r="164" spans="1:4" x14ac:dyDescent="0.35">
      <c r="A164" s="4">
        <v>390</v>
      </c>
      <c r="B164" s="6">
        <v>6292109</v>
      </c>
      <c r="C164" s="6">
        <v>208409</v>
      </c>
      <c r="D164" s="5">
        <v>3.3122280621648403E-2</v>
      </c>
    </row>
    <row r="165" spans="1:4" x14ac:dyDescent="0.35">
      <c r="A165" s="4">
        <v>390</v>
      </c>
      <c r="B165" s="6">
        <v>29271</v>
      </c>
      <c r="C165" s="6">
        <v>0</v>
      </c>
      <c r="D165" s="5">
        <v>0</v>
      </c>
    </row>
    <row r="166" spans="1:4" x14ac:dyDescent="0.35">
      <c r="A166" s="4">
        <v>410</v>
      </c>
      <c r="B166" s="6">
        <v>681756353</v>
      </c>
      <c r="C166" s="6">
        <v>39020745</v>
      </c>
      <c r="D166" s="5">
        <v>5.7235616255416101E-2</v>
      </c>
    </row>
    <row r="167" spans="1:4" x14ac:dyDescent="0.35">
      <c r="A167" s="4">
        <v>410</v>
      </c>
      <c r="B167" s="6">
        <v>1684056</v>
      </c>
      <c r="C167" s="6">
        <v>86446</v>
      </c>
      <c r="D167" s="5">
        <v>5.1332022213038002E-2</v>
      </c>
    </row>
    <row r="168" spans="1:4" x14ac:dyDescent="0.35">
      <c r="A168" s="4">
        <v>421</v>
      </c>
      <c r="B168" s="6">
        <v>274649316</v>
      </c>
      <c r="C168" s="6">
        <v>11033699</v>
      </c>
      <c r="D168" s="5">
        <v>4.0173771996577602E-2</v>
      </c>
    </row>
    <row r="169" spans="1:4" x14ac:dyDescent="0.35">
      <c r="A169" s="4">
        <v>421</v>
      </c>
      <c r="B169" s="6">
        <v>27020</v>
      </c>
      <c r="C169" s="6">
        <v>0</v>
      </c>
      <c r="D169" s="5">
        <v>0</v>
      </c>
    </row>
    <row r="170" spans="1:4" x14ac:dyDescent="0.35">
      <c r="A170" s="4">
        <v>422</v>
      </c>
      <c r="B170" s="6">
        <v>158431476</v>
      </c>
      <c r="C170" s="6">
        <v>5105184</v>
      </c>
      <c r="D170" s="5">
        <v>3.2223293810631402E-2</v>
      </c>
    </row>
    <row r="171" spans="1:4" x14ac:dyDescent="0.35">
      <c r="A171" s="4">
        <v>422</v>
      </c>
      <c r="B171" s="6">
        <v>556307</v>
      </c>
      <c r="C171" s="6">
        <v>0</v>
      </c>
      <c r="D171" s="5">
        <v>0</v>
      </c>
    </row>
    <row r="172" spans="1:4" x14ac:dyDescent="0.35">
      <c r="A172" s="4">
        <v>429</v>
      </c>
      <c r="B172" s="6">
        <v>434483457</v>
      </c>
      <c r="C172" s="6">
        <v>20555437</v>
      </c>
      <c r="D172" s="5">
        <v>4.7310056732493701E-2</v>
      </c>
    </row>
    <row r="173" spans="1:4" x14ac:dyDescent="0.35">
      <c r="A173" s="4">
        <v>429</v>
      </c>
      <c r="B173" s="6">
        <v>290964</v>
      </c>
      <c r="C173" s="6">
        <v>0</v>
      </c>
      <c r="D173" s="5">
        <v>0</v>
      </c>
    </row>
    <row r="174" spans="1:4" x14ac:dyDescent="0.35">
      <c r="A174" s="4">
        <v>431</v>
      </c>
      <c r="B174" s="6">
        <v>123948100</v>
      </c>
      <c r="C174" s="6">
        <v>8848784</v>
      </c>
      <c r="D174" s="5">
        <v>7.1391041895761204E-2</v>
      </c>
    </row>
    <row r="175" spans="1:4" x14ac:dyDescent="0.35">
      <c r="A175" s="4">
        <v>431</v>
      </c>
      <c r="B175" s="6">
        <v>324076</v>
      </c>
      <c r="C175" s="6">
        <v>0</v>
      </c>
      <c r="D175" s="5">
        <v>0</v>
      </c>
    </row>
    <row r="176" spans="1:4" x14ac:dyDescent="0.35">
      <c r="A176" s="4">
        <v>432</v>
      </c>
      <c r="B176" s="6">
        <v>101118557</v>
      </c>
      <c r="C176" s="6">
        <v>5073524</v>
      </c>
      <c r="D176" s="5">
        <v>5.0174015042560298E-2</v>
      </c>
    </row>
    <row r="177" spans="1:4" x14ac:dyDescent="0.35">
      <c r="A177" s="4">
        <v>432</v>
      </c>
      <c r="B177" s="6">
        <v>187853</v>
      </c>
      <c r="C177" s="6">
        <v>0</v>
      </c>
      <c r="D177" s="5">
        <v>0</v>
      </c>
    </row>
    <row r="178" spans="1:4" x14ac:dyDescent="0.35">
      <c r="A178" s="4">
        <v>433</v>
      </c>
      <c r="B178" s="6">
        <v>14636787</v>
      </c>
      <c r="C178" s="6">
        <v>1375638</v>
      </c>
      <c r="D178" s="5">
        <v>9.3984970881929197E-2</v>
      </c>
    </row>
    <row r="179" spans="1:4" x14ac:dyDescent="0.35">
      <c r="A179" s="4">
        <v>433</v>
      </c>
      <c r="B179" s="6">
        <v>128157</v>
      </c>
      <c r="C179" s="6">
        <v>0</v>
      </c>
      <c r="D179" s="5">
        <v>0</v>
      </c>
    </row>
    <row r="180" spans="1:4" x14ac:dyDescent="0.35">
      <c r="A180" s="4">
        <v>439</v>
      </c>
      <c r="B180" s="6">
        <v>88546305</v>
      </c>
      <c r="C180" s="6">
        <v>4044982</v>
      </c>
      <c r="D180" s="5">
        <v>4.5682109490621799E-2</v>
      </c>
    </row>
    <row r="181" spans="1:4" x14ac:dyDescent="0.35">
      <c r="A181" s="4">
        <v>439</v>
      </c>
      <c r="B181" s="6">
        <v>783250</v>
      </c>
      <c r="C181" s="6">
        <v>4054</v>
      </c>
      <c r="D181" s="5">
        <v>5.1758697733801399E-3</v>
      </c>
    </row>
    <row r="182" spans="1:4" x14ac:dyDescent="0.35">
      <c r="A182" s="4">
        <v>451</v>
      </c>
      <c r="B182" s="6">
        <v>2176840775</v>
      </c>
      <c r="C182" s="6">
        <v>9815136</v>
      </c>
      <c r="D182" s="5">
        <v>4.5088901828384698E-3</v>
      </c>
    </row>
    <row r="183" spans="1:4" x14ac:dyDescent="0.35">
      <c r="A183" s="4">
        <v>451</v>
      </c>
      <c r="B183" s="6">
        <v>203018980</v>
      </c>
      <c r="C183" s="6">
        <v>0</v>
      </c>
      <c r="D183" s="5">
        <v>0</v>
      </c>
    </row>
    <row r="184" spans="1:4" x14ac:dyDescent="0.35">
      <c r="A184" s="4">
        <v>452</v>
      </c>
      <c r="B184" s="6">
        <v>125811412</v>
      </c>
      <c r="C184" s="6">
        <v>7973229</v>
      </c>
      <c r="D184" s="5">
        <v>6.3374449688236495E-2</v>
      </c>
    </row>
    <row r="185" spans="1:4" x14ac:dyDescent="0.35">
      <c r="A185" s="4">
        <v>452</v>
      </c>
      <c r="B185" s="6">
        <v>562909</v>
      </c>
      <c r="C185" s="6">
        <v>75586</v>
      </c>
      <c r="D185" s="5">
        <v>0.134277476466</v>
      </c>
    </row>
    <row r="186" spans="1:4" x14ac:dyDescent="0.35">
      <c r="A186" s="4">
        <v>453</v>
      </c>
      <c r="B186" s="6">
        <v>403516177</v>
      </c>
      <c r="C186" s="6">
        <v>14889793</v>
      </c>
      <c r="D186" s="5">
        <v>3.6900114168161302E-2</v>
      </c>
    </row>
    <row r="187" spans="1:4" x14ac:dyDescent="0.35">
      <c r="A187" s="4">
        <v>453</v>
      </c>
      <c r="B187" s="6">
        <v>1694508</v>
      </c>
      <c r="C187" s="6">
        <v>0</v>
      </c>
      <c r="D187" s="5">
        <v>0</v>
      </c>
    </row>
    <row r="188" spans="1:4" x14ac:dyDescent="0.35">
      <c r="A188" s="4">
        <v>454</v>
      </c>
      <c r="B188" s="6">
        <v>62021383</v>
      </c>
      <c r="C188" s="6">
        <v>2856255</v>
      </c>
      <c r="D188" s="5">
        <v>4.6052746034379699E-2</v>
      </c>
    </row>
    <row r="189" spans="1:4" x14ac:dyDescent="0.35">
      <c r="A189" s="4">
        <v>454</v>
      </c>
      <c r="B189" s="6">
        <v>891077</v>
      </c>
      <c r="C189" s="6">
        <v>0</v>
      </c>
      <c r="D189" s="5">
        <v>0</v>
      </c>
    </row>
    <row r="190" spans="1:4" x14ac:dyDescent="0.35">
      <c r="A190" s="4">
        <v>461</v>
      </c>
      <c r="B190" s="6">
        <v>1744758792</v>
      </c>
      <c r="C190" s="6">
        <v>83900717</v>
      </c>
      <c r="D190" s="5">
        <v>4.80872871279963E-2</v>
      </c>
    </row>
    <row r="191" spans="1:4" x14ac:dyDescent="0.35">
      <c r="A191" s="4">
        <v>461</v>
      </c>
      <c r="B191" s="6">
        <v>671502</v>
      </c>
      <c r="C191" s="6">
        <v>50000</v>
      </c>
      <c r="D191" s="5">
        <v>7.4459942040381102E-2</v>
      </c>
    </row>
    <row r="192" spans="1:4" x14ac:dyDescent="0.35">
      <c r="A192" s="4">
        <v>462</v>
      </c>
      <c r="B192" s="6">
        <v>995839442</v>
      </c>
      <c r="C192" s="6">
        <v>15190509</v>
      </c>
      <c r="D192" s="5">
        <v>1.5253974043739399E-2</v>
      </c>
    </row>
    <row r="193" spans="1:4" x14ac:dyDescent="0.35">
      <c r="A193" s="4">
        <v>462</v>
      </c>
      <c r="B193" s="6">
        <v>268592</v>
      </c>
      <c r="C193" s="6">
        <v>55318</v>
      </c>
      <c r="D193" s="5">
        <v>0.20595550128075199</v>
      </c>
    </row>
    <row r="194" spans="1:4" x14ac:dyDescent="0.35">
      <c r="A194" s="4">
        <v>463</v>
      </c>
      <c r="B194" s="6">
        <v>739661223</v>
      </c>
      <c r="C194" s="6">
        <v>50026978</v>
      </c>
      <c r="D194" s="5">
        <v>6.7634988078859995E-2</v>
      </c>
    </row>
    <row r="195" spans="1:4" x14ac:dyDescent="0.35">
      <c r="A195" s="4">
        <v>463</v>
      </c>
      <c r="B195" s="6">
        <v>2180608</v>
      </c>
      <c r="C195" s="6">
        <v>193219</v>
      </c>
      <c r="D195" s="5">
        <v>8.8607856157548695E-2</v>
      </c>
    </row>
    <row r="196" spans="1:4" x14ac:dyDescent="0.35">
      <c r="A196" s="4">
        <v>464</v>
      </c>
      <c r="B196" s="6">
        <v>1788152338</v>
      </c>
      <c r="C196" s="6">
        <v>55818527</v>
      </c>
      <c r="D196" s="5">
        <v>3.1215755958707299E-2</v>
      </c>
    </row>
    <row r="197" spans="1:4" x14ac:dyDescent="0.35">
      <c r="A197" s="4">
        <v>464</v>
      </c>
      <c r="B197" s="6">
        <v>667523</v>
      </c>
      <c r="C197" s="6">
        <v>121</v>
      </c>
      <c r="D197" s="5">
        <v>1.81267162329987E-4</v>
      </c>
    </row>
    <row r="198" spans="1:4" x14ac:dyDescent="0.35">
      <c r="A198" s="4">
        <v>465</v>
      </c>
      <c r="B198" s="6">
        <v>820520110</v>
      </c>
      <c r="C198" s="6">
        <v>13992752</v>
      </c>
      <c r="D198" s="5">
        <v>1.7053514995506901E-2</v>
      </c>
    </row>
    <row r="199" spans="1:4" x14ac:dyDescent="0.35">
      <c r="A199" s="4">
        <v>465</v>
      </c>
      <c r="B199" s="6">
        <v>366490</v>
      </c>
      <c r="C199" s="6">
        <v>0</v>
      </c>
      <c r="D199" s="5">
        <v>0</v>
      </c>
    </row>
    <row r="200" spans="1:4" x14ac:dyDescent="0.35">
      <c r="A200" s="4">
        <v>466</v>
      </c>
      <c r="B200" s="6">
        <v>1229188874</v>
      </c>
      <c r="C200" s="6">
        <v>55998229</v>
      </c>
      <c r="D200" s="5">
        <v>4.5557058141741602E-2</v>
      </c>
    </row>
    <row r="201" spans="1:4" x14ac:dyDescent="0.35">
      <c r="A201" s="4">
        <v>466</v>
      </c>
      <c r="B201" s="6">
        <v>348107</v>
      </c>
      <c r="C201" s="6">
        <v>118152</v>
      </c>
      <c r="D201" s="5">
        <v>0.33941288167144001</v>
      </c>
    </row>
    <row r="202" spans="1:4" x14ac:dyDescent="0.35">
      <c r="A202" s="4">
        <v>469</v>
      </c>
      <c r="B202" s="6">
        <v>237161336</v>
      </c>
      <c r="C202" s="6">
        <v>6070172</v>
      </c>
      <c r="D202" s="5">
        <v>2.5595116397893702E-2</v>
      </c>
    </row>
    <row r="203" spans="1:4" x14ac:dyDescent="0.35">
      <c r="A203" s="4">
        <v>469</v>
      </c>
      <c r="B203" s="6">
        <v>405486</v>
      </c>
      <c r="C203" s="6">
        <v>0</v>
      </c>
      <c r="D203" s="5">
        <v>0</v>
      </c>
    </row>
    <row r="204" spans="1:4" x14ac:dyDescent="0.35">
      <c r="A204" s="4">
        <v>471</v>
      </c>
      <c r="B204" s="6">
        <v>512820216</v>
      </c>
      <c r="C204" s="6">
        <v>20594921</v>
      </c>
      <c r="D204" s="5">
        <v>4.0160119194676901E-2</v>
      </c>
    </row>
    <row r="205" spans="1:4" x14ac:dyDescent="0.35">
      <c r="A205" s="4">
        <v>471</v>
      </c>
      <c r="B205" s="6">
        <v>1048343</v>
      </c>
      <c r="C205" s="6">
        <v>43558</v>
      </c>
      <c r="D205" s="5">
        <v>4.1549378400008302E-2</v>
      </c>
    </row>
    <row r="206" spans="1:4" x14ac:dyDescent="0.35">
      <c r="A206" s="4">
        <v>472</v>
      </c>
      <c r="B206" s="6">
        <v>496791900</v>
      </c>
      <c r="C206" s="6">
        <v>57182083</v>
      </c>
      <c r="D206" s="5">
        <v>0.115102687865885</v>
      </c>
    </row>
    <row r="207" spans="1:4" x14ac:dyDescent="0.35">
      <c r="A207" s="4">
        <v>472</v>
      </c>
      <c r="B207" s="6">
        <v>841441</v>
      </c>
      <c r="C207" s="6">
        <v>50495</v>
      </c>
      <c r="D207" s="5">
        <v>6.0010149255859797E-2</v>
      </c>
    </row>
    <row r="208" spans="1:4" x14ac:dyDescent="0.35">
      <c r="A208" s="4">
        <v>473</v>
      </c>
      <c r="B208" s="6">
        <v>416554681</v>
      </c>
      <c r="C208" s="6">
        <v>6133130</v>
      </c>
      <c r="D208" s="5">
        <v>1.4723469162023399E-2</v>
      </c>
    </row>
    <row r="209" spans="1:4" x14ac:dyDescent="0.35">
      <c r="A209" s="4">
        <v>473</v>
      </c>
      <c r="B209" s="6">
        <v>24560</v>
      </c>
      <c r="C209" s="6">
        <v>13592</v>
      </c>
      <c r="D209" s="5">
        <v>0.55342019543973897</v>
      </c>
    </row>
    <row r="210" spans="1:4" x14ac:dyDescent="0.35">
      <c r="A210" s="4">
        <v>474</v>
      </c>
      <c r="B210" s="6">
        <v>73323782</v>
      </c>
      <c r="C210" s="6">
        <v>4609280</v>
      </c>
      <c r="D210" s="5">
        <v>6.2862005672320601E-2</v>
      </c>
    </row>
    <row r="211" spans="1:4" x14ac:dyDescent="0.35">
      <c r="A211" s="4">
        <v>474</v>
      </c>
      <c r="B211" s="6">
        <v>80839</v>
      </c>
      <c r="C211" s="6">
        <v>8221</v>
      </c>
      <c r="D211" s="5">
        <v>0.101695963581934</v>
      </c>
    </row>
    <row r="212" spans="1:4" x14ac:dyDescent="0.35">
      <c r="A212" s="4">
        <v>475</v>
      </c>
      <c r="B212" s="6">
        <v>1090058527</v>
      </c>
      <c r="C212" s="6">
        <v>45533196</v>
      </c>
      <c r="D212" s="5">
        <v>4.1771331421363203E-2</v>
      </c>
    </row>
    <row r="213" spans="1:4" x14ac:dyDescent="0.35">
      <c r="A213" s="4">
        <v>475</v>
      </c>
      <c r="B213" s="6">
        <v>4682646</v>
      </c>
      <c r="C213" s="6">
        <v>26503</v>
      </c>
      <c r="D213" s="5">
        <v>5.6598342048491297E-3</v>
      </c>
    </row>
    <row r="214" spans="1:4" x14ac:dyDescent="0.35">
      <c r="A214" s="4">
        <v>476</v>
      </c>
      <c r="B214" s="6">
        <v>76030216</v>
      </c>
      <c r="C214" s="6">
        <v>3701285</v>
      </c>
      <c r="D214" s="5">
        <v>4.8681763576733698E-2</v>
      </c>
    </row>
    <row r="215" spans="1:4" x14ac:dyDescent="0.35">
      <c r="A215" s="4">
        <v>476</v>
      </c>
      <c r="B215" s="6">
        <v>103641</v>
      </c>
      <c r="C215" s="6">
        <v>0</v>
      </c>
      <c r="D215" s="5">
        <v>0</v>
      </c>
    </row>
    <row r="216" spans="1:4" x14ac:dyDescent="0.35">
      <c r="A216" s="4">
        <v>477</v>
      </c>
      <c r="B216" s="6">
        <v>1089254048</v>
      </c>
      <c r="C216" s="6">
        <v>56553421</v>
      </c>
      <c r="D216" s="5">
        <v>5.1919404021347197E-2</v>
      </c>
    </row>
    <row r="217" spans="1:4" x14ac:dyDescent="0.35">
      <c r="A217" s="4">
        <v>477</v>
      </c>
      <c r="B217" s="6">
        <v>761365</v>
      </c>
      <c r="C217" s="6">
        <v>37221</v>
      </c>
      <c r="D217" s="5">
        <v>4.8887196022932497E-2</v>
      </c>
    </row>
    <row r="218" spans="1:4" x14ac:dyDescent="0.35">
      <c r="A218" s="4">
        <v>478</v>
      </c>
      <c r="B218" s="6">
        <v>8268883</v>
      </c>
      <c r="C218" s="6">
        <v>837287</v>
      </c>
      <c r="D218" s="5">
        <v>0.10125757009743599</v>
      </c>
    </row>
    <row r="219" spans="1:4" x14ac:dyDescent="0.35">
      <c r="A219" s="4">
        <v>478</v>
      </c>
      <c r="B219" s="6">
        <v>769</v>
      </c>
      <c r="C219" s="6">
        <v>0</v>
      </c>
      <c r="D219" s="5">
        <v>0</v>
      </c>
    </row>
    <row r="220" spans="1:4" x14ac:dyDescent="0.35">
      <c r="A220" s="4">
        <v>479</v>
      </c>
      <c r="B220" s="6">
        <v>58280496</v>
      </c>
      <c r="C220" s="6">
        <v>4832951</v>
      </c>
      <c r="D220" s="5">
        <v>8.2925701250037398E-2</v>
      </c>
    </row>
    <row r="221" spans="1:4" x14ac:dyDescent="0.35">
      <c r="A221" s="4">
        <v>479</v>
      </c>
      <c r="B221" s="6">
        <v>358232</v>
      </c>
      <c r="C221" s="6">
        <v>1091</v>
      </c>
      <c r="D221" s="5">
        <v>3.0455124053685801E-3</v>
      </c>
    </row>
    <row r="222" spans="1:4" x14ac:dyDescent="0.35">
      <c r="A222" s="4">
        <v>491</v>
      </c>
      <c r="B222" s="6">
        <v>33839419</v>
      </c>
      <c r="C222" s="6">
        <v>37345</v>
      </c>
      <c r="D222" s="5">
        <v>1.10359459776776E-3</v>
      </c>
    </row>
    <row r="223" spans="1:4" x14ac:dyDescent="0.35">
      <c r="A223" s="4">
        <v>491</v>
      </c>
      <c r="B223" s="6">
        <v>0</v>
      </c>
      <c r="C223" s="6">
        <v>0</v>
      </c>
    </row>
    <row r="224" spans="1:4" x14ac:dyDescent="0.35">
      <c r="A224" s="4">
        <v>492</v>
      </c>
      <c r="B224" s="6">
        <v>2650280576</v>
      </c>
      <c r="C224" s="6">
        <v>83896344</v>
      </c>
      <c r="D224" s="5">
        <v>3.16556461077123E-2</v>
      </c>
    </row>
    <row r="225" spans="1:4" x14ac:dyDescent="0.35">
      <c r="A225" s="4">
        <v>492</v>
      </c>
      <c r="B225" s="6">
        <v>6339221</v>
      </c>
      <c r="C225" s="6">
        <v>18613</v>
      </c>
      <c r="D225" s="5">
        <v>2.9361651849651501E-3</v>
      </c>
    </row>
    <row r="226" spans="1:4" x14ac:dyDescent="0.35">
      <c r="A226" s="4">
        <v>493</v>
      </c>
      <c r="B226" s="6">
        <v>221130504</v>
      </c>
      <c r="C226" s="6">
        <v>19440</v>
      </c>
      <c r="D226" s="5">
        <v>8.7911887543113405E-5</v>
      </c>
    </row>
    <row r="227" spans="1:4" x14ac:dyDescent="0.35">
      <c r="A227" s="4">
        <v>501</v>
      </c>
      <c r="B227" s="6">
        <v>13787794</v>
      </c>
      <c r="C227" s="6">
        <v>47395</v>
      </c>
      <c r="D227" s="5">
        <v>3.43746069893414E-3</v>
      </c>
    </row>
    <row r="228" spans="1:4" x14ac:dyDescent="0.35">
      <c r="A228" s="4">
        <v>501</v>
      </c>
      <c r="B228" s="6">
        <v>8073</v>
      </c>
      <c r="C228" s="6">
        <v>0</v>
      </c>
      <c r="D228" s="5">
        <v>0</v>
      </c>
    </row>
    <row r="229" spans="1:4" x14ac:dyDescent="0.35">
      <c r="A229" s="4">
        <v>502</v>
      </c>
      <c r="B229" s="6">
        <v>7556463</v>
      </c>
      <c r="C229" s="6">
        <v>474796</v>
      </c>
      <c r="D229" s="5">
        <v>6.2833100618635895E-2</v>
      </c>
    </row>
    <row r="230" spans="1:4" x14ac:dyDescent="0.35">
      <c r="A230" s="4">
        <v>511</v>
      </c>
      <c r="B230" s="6">
        <v>220913234</v>
      </c>
      <c r="C230" s="6">
        <v>139493</v>
      </c>
      <c r="D230" s="5">
        <v>6.314379517888E-4</v>
      </c>
    </row>
    <row r="231" spans="1:4" x14ac:dyDescent="0.35">
      <c r="A231" s="4">
        <v>512</v>
      </c>
      <c r="B231" s="6">
        <v>8174372</v>
      </c>
      <c r="C231" s="6">
        <v>132860</v>
      </c>
      <c r="D231" s="5">
        <v>1.6253236334240698E-2</v>
      </c>
    </row>
    <row r="232" spans="1:4" x14ac:dyDescent="0.35">
      <c r="A232" s="4">
        <v>512</v>
      </c>
      <c r="B232" s="6">
        <v>2505725</v>
      </c>
      <c r="C232" s="6">
        <v>64979</v>
      </c>
      <c r="D232" s="5">
        <v>2.5932215227129799E-2</v>
      </c>
    </row>
    <row r="233" spans="1:4" x14ac:dyDescent="0.35">
      <c r="A233" s="4">
        <v>521</v>
      </c>
      <c r="B233" s="6">
        <v>52043942</v>
      </c>
      <c r="C233" s="6">
        <v>6260131</v>
      </c>
      <c r="D233" s="5">
        <v>0.120285488751025</v>
      </c>
    </row>
    <row r="234" spans="1:4" x14ac:dyDescent="0.35">
      <c r="A234" s="4">
        <v>521</v>
      </c>
      <c r="B234" s="6">
        <v>26028</v>
      </c>
      <c r="C234" s="6">
        <v>6042</v>
      </c>
      <c r="D234" s="5">
        <v>0.232134624250806</v>
      </c>
    </row>
    <row r="235" spans="1:4" x14ac:dyDescent="0.35">
      <c r="A235" s="4">
        <v>522</v>
      </c>
      <c r="B235" s="6">
        <v>76496663</v>
      </c>
      <c r="C235" s="6">
        <v>1667317</v>
      </c>
      <c r="D235" s="5">
        <v>2.1795944223083299E-2</v>
      </c>
    </row>
    <row r="236" spans="1:4" x14ac:dyDescent="0.35">
      <c r="A236" s="4">
        <v>523</v>
      </c>
      <c r="B236" s="6">
        <v>299078506</v>
      </c>
      <c r="C236" s="6">
        <v>20659067</v>
      </c>
      <c r="D236" s="5">
        <v>6.9075732911411503E-2</v>
      </c>
    </row>
    <row r="237" spans="1:4" x14ac:dyDescent="0.35">
      <c r="A237" s="4">
        <v>523</v>
      </c>
      <c r="B237" s="6">
        <v>221524</v>
      </c>
      <c r="C237" s="6">
        <v>0</v>
      </c>
      <c r="D237" s="5">
        <v>0</v>
      </c>
    </row>
    <row r="238" spans="1:4" x14ac:dyDescent="0.35">
      <c r="A238" s="4">
        <v>524</v>
      </c>
      <c r="B238" s="6">
        <v>34108272</v>
      </c>
      <c r="C238" s="6">
        <v>660578</v>
      </c>
      <c r="D238" s="5">
        <v>1.9367090774929901E-2</v>
      </c>
    </row>
    <row r="239" spans="1:4" x14ac:dyDescent="0.35">
      <c r="A239" s="4">
        <v>524</v>
      </c>
      <c r="B239" s="6">
        <v>79982</v>
      </c>
      <c r="C239" s="6">
        <v>0</v>
      </c>
      <c r="D239" s="5">
        <v>0</v>
      </c>
    </row>
    <row r="240" spans="1:4" x14ac:dyDescent="0.35">
      <c r="A240" s="4">
        <v>530</v>
      </c>
      <c r="B240" s="6">
        <v>42299253</v>
      </c>
      <c r="C240" s="6">
        <v>2478141</v>
      </c>
      <c r="D240" s="5">
        <v>5.8585928219583402E-2</v>
      </c>
    </row>
    <row r="241" spans="1:4" x14ac:dyDescent="0.35">
      <c r="A241" s="4">
        <v>530</v>
      </c>
      <c r="B241" s="6">
        <v>483386</v>
      </c>
      <c r="C241" s="6">
        <v>828</v>
      </c>
      <c r="D241" s="5">
        <v>1.71291679941082E-3</v>
      </c>
    </row>
    <row r="242" spans="1:4" x14ac:dyDescent="0.35">
      <c r="A242" s="4">
        <v>551</v>
      </c>
      <c r="B242" s="6">
        <v>125875965</v>
      </c>
      <c r="C242" s="6">
        <v>6779313</v>
      </c>
      <c r="D242" s="5">
        <v>5.3857088603054597E-2</v>
      </c>
    </row>
    <row r="243" spans="1:4" x14ac:dyDescent="0.35">
      <c r="A243" s="4">
        <v>551</v>
      </c>
      <c r="B243" s="6">
        <v>22036</v>
      </c>
      <c r="C243" s="6">
        <v>0</v>
      </c>
      <c r="D243" s="5">
        <v>0</v>
      </c>
    </row>
    <row r="244" spans="1:4" x14ac:dyDescent="0.35">
      <c r="A244" s="4">
        <v>552</v>
      </c>
      <c r="B244" s="6">
        <v>2090011</v>
      </c>
      <c r="C244" s="6">
        <v>59043</v>
      </c>
      <c r="D244" s="5">
        <v>2.8250090549762599E-2</v>
      </c>
    </row>
    <row r="245" spans="1:4" x14ac:dyDescent="0.35">
      <c r="A245" s="4">
        <v>552</v>
      </c>
      <c r="B245" s="6">
        <v>254000</v>
      </c>
      <c r="C245" s="6">
        <v>0</v>
      </c>
      <c r="D245" s="5">
        <v>0</v>
      </c>
    </row>
    <row r="246" spans="1:4" x14ac:dyDescent="0.35">
      <c r="A246" s="4">
        <v>561</v>
      </c>
      <c r="B246" s="6">
        <v>246352904</v>
      </c>
      <c r="C246" s="6">
        <v>14331910</v>
      </c>
      <c r="D246" s="5">
        <v>5.8176338769686198E-2</v>
      </c>
    </row>
    <row r="247" spans="1:4" x14ac:dyDescent="0.35">
      <c r="A247" s="4">
        <v>561</v>
      </c>
      <c r="B247" s="6">
        <v>691507</v>
      </c>
      <c r="C247" s="6">
        <v>96121</v>
      </c>
      <c r="D247" s="5">
        <v>0.139002208220596</v>
      </c>
    </row>
    <row r="248" spans="1:4" x14ac:dyDescent="0.35">
      <c r="A248" s="4">
        <v>562</v>
      </c>
      <c r="B248" s="6">
        <v>77973068</v>
      </c>
      <c r="C248" s="6">
        <v>1584515</v>
      </c>
      <c r="D248" s="5">
        <v>2.0321311455899101E-2</v>
      </c>
    </row>
    <row r="249" spans="1:4" x14ac:dyDescent="0.35">
      <c r="A249" s="4">
        <v>562</v>
      </c>
      <c r="B249" s="6">
        <v>41604</v>
      </c>
      <c r="C249" s="6">
        <v>331</v>
      </c>
      <c r="D249" s="5">
        <v>7.95596577252187E-3</v>
      </c>
    </row>
    <row r="250" spans="1:4" x14ac:dyDescent="0.35">
      <c r="A250" s="4">
        <v>581</v>
      </c>
      <c r="B250" s="6">
        <v>9603079</v>
      </c>
      <c r="C250" s="6">
        <v>909202</v>
      </c>
      <c r="D250" s="5">
        <v>9.4678175614300294E-2</v>
      </c>
    </row>
    <row r="251" spans="1:4" x14ac:dyDescent="0.35">
      <c r="A251" s="4">
        <v>581</v>
      </c>
      <c r="B251" s="6">
        <v>193402</v>
      </c>
      <c r="C251" s="6">
        <v>23747</v>
      </c>
      <c r="D251" s="5">
        <v>0.12278570025129</v>
      </c>
    </row>
    <row r="252" spans="1:4" x14ac:dyDescent="0.35">
      <c r="A252" s="4">
        <v>591</v>
      </c>
      <c r="B252" s="6">
        <v>7605633</v>
      </c>
      <c r="C252" s="6">
        <v>223604</v>
      </c>
      <c r="D252" s="5">
        <v>2.9399788288496102E-2</v>
      </c>
    </row>
    <row r="253" spans="1:4" x14ac:dyDescent="0.35">
      <c r="A253" s="4">
        <v>591</v>
      </c>
      <c r="B253" s="6">
        <v>32047</v>
      </c>
      <c r="C253" s="6">
        <v>0</v>
      </c>
      <c r="D253" s="5">
        <v>0</v>
      </c>
    </row>
    <row r="254" spans="1:4" x14ac:dyDescent="0.35">
      <c r="A254" s="4">
        <v>592</v>
      </c>
      <c r="B254" s="6">
        <v>1963886</v>
      </c>
      <c r="C254" s="6">
        <v>19310</v>
      </c>
      <c r="D254" s="5">
        <v>9.8325462883283397E-3</v>
      </c>
    </row>
    <row r="255" spans="1:4" x14ac:dyDescent="0.35">
      <c r="A255" s="4">
        <v>601</v>
      </c>
      <c r="B255" s="6">
        <v>4548606</v>
      </c>
      <c r="C255" s="6">
        <v>302420</v>
      </c>
      <c r="D255" s="5">
        <v>6.6486303715907594E-2</v>
      </c>
    </row>
    <row r="256" spans="1:4" x14ac:dyDescent="0.35">
      <c r="A256" s="4">
        <v>602</v>
      </c>
      <c r="B256" s="6">
        <v>78545662</v>
      </c>
      <c r="C256" s="6">
        <v>362312</v>
      </c>
      <c r="D256" s="5">
        <v>4.6127563352894004E-3</v>
      </c>
    </row>
    <row r="257" spans="1:4" x14ac:dyDescent="0.35">
      <c r="A257" s="4">
        <v>611</v>
      </c>
      <c r="B257" s="6">
        <v>638655261</v>
      </c>
      <c r="C257" s="6">
        <v>27548</v>
      </c>
      <c r="D257" s="5">
        <v>4.3134382008950498E-5</v>
      </c>
    </row>
    <row r="258" spans="1:4" x14ac:dyDescent="0.35">
      <c r="A258" s="4">
        <v>611</v>
      </c>
      <c r="B258" s="6">
        <v>413</v>
      </c>
      <c r="C258" s="6">
        <v>0</v>
      </c>
      <c r="D258" s="5">
        <v>0</v>
      </c>
    </row>
    <row r="259" spans="1:4" x14ac:dyDescent="0.35">
      <c r="A259" s="4">
        <v>612</v>
      </c>
      <c r="B259" s="6">
        <v>142143508</v>
      </c>
      <c r="C259" s="6">
        <v>28918</v>
      </c>
      <c r="D259" s="5">
        <v>2.03442284539649E-4</v>
      </c>
    </row>
    <row r="260" spans="1:4" x14ac:dyDescent="0.35">
      <c r="A260" s="4">
        <v>613</v>
      </c>
      <c r="B260" s="6">
        <v>1645775</v>
      </c>
      <c r="C260" s="6">
        <v>25726</v>
      </c>
      <c r="D260" s="5">
        <v>1.5631541371086501E-2</v>
      </c>
    </row>
    <row r="261" spans="1:4" x14ac:dyDescent="0.35">
      <c r="A261" s="4">
        <v>613</v>
      </c>
      <c r="B261" s="6">
        <v>12502</v>
      </c>
      <c r="C261" s="6">
        <v>0</v>
      </c>
      <c r="D261" s="5">
        <v>0</v>
      </c>
    </row>
    <row r="262" spans="1:4" x14ac:dyDescent="0.35">
      <c r="A262" s="4">
        <v>614</v>
      </c>
      <c r="B262" s="6">
        <v>37193525</v>
      </c>
      <c r="C262" s="6">
        <v>402401</v>
      </c>
      <c r="D262" s="5">
        <v>1.08191143485324E-2</v>
      </c>
    </row>
    <row r="263" spans="1:4" x14ac:dyDescent="0.35">
      <c r="A263" s="4">
        <v>614</v>
      </c>
      <c r="B263" s="6">
        <v>10439</v>
      </c>
      <c r="C263" s="6">
        <v>0</v>
      </c>
      <c r="D263" s="5">
        <v>0</v>
      </c>
    </row>
    <row r="264" spans="1:4" x14ac:dyDescent="0.35">
      <c r="A264" s="4">
        <v>619</v>
      </c>
      <c r="B264" s="6">
        <v>112306541</v>
      </c>
      <c r="C264" s="6">
        <v>2692830</v>
      </c>
      <c r="D264" s="5">
        <v>2.39774992268704E-2</v>
      </c>
    </row>
    <row r="265" spans="1:4" x14ac:dyDescent="0.35">
      <c r="A265" s="4">
        <v>619</v>
      </c>
      <c r="B265" s="6">
        <v>40421</v>
      </c>
      <c r="C265" s="6">
        <v>0</v>
      </c>
      <c r="D265" s="5">
        <v>0</v>
      </c>
    </row>
    <row r="266" spans="1:4" x14ac:dyDescent="0.35">
      <c r="A266" s="4">
        <v>620</v>
      </c>
      <c r="B266" s="6">
        <v>726773011</v>
      </c>
      <c r="C266" s="6">
        <v>4975582</v>
      </c>
      <c r="D266" s="5">
        <v>6.84612929304277E-3</v>
      </c>
    </row>
    <row r="267" spans="1:4" x14ac:dyDescent="0.35">
      <c r="A267" s="4">
        <v>620</v>
      </c>
      <c r="B267" s="6">
        <v>453019</v>
      </c>
      <c r="C267" s="6">
        <v>41</v>
      </c>
      <c r="D267" s="5">
        <v>9.0503930298729094E-5</v>
      </c>
    </row>
    <row r="268" spans="1:4" x14ac:dyDescent="0.35">
      <c r="A268" s="4">
        <v>631</v>
      </c>
      <c r="B268" s="6">
        <v>388532827</v>
      </c>
      <c r="C268" s="6">
        <v>595424</v>
      </c>
      <c r="D268" s="5">
        <v>1.5324934178598999E-3</v>
      </c>
    </row>
    <row r="269" spans="1:4" x14ac:dyDescent="0.35">
      <c r="A269" s="4">
        <v>631</v>
      </c>
      <c r="B269" s="6">
        <v>272322</v>
      </c>
      <c r="C269" s="6">
        <v>19689</v>
      </c>
      <c r="D269" s="5">
        <v>7.2300438451538898E-2</v>
      </c>
    </row>
    <row r="270" spans="1:4" x14ac:dyDescent="0.35">
      <c r="A270" s="4">
        <v>639</v>
      </c>
      <c r="B270" s="6">
        <v>6059468</v>
      </c>
      <c r="C270" s="6">
        <v>479497</v>
      </c>
      <c r="D270" s="5">
        <v>7.91318643814935E-2</v>
      </c>
    </row>
    <row r="271" spans="1:4" x14ac:dyDescent="0.35">
      <c r="A271" s="4">
        <v>641</v>
      </c>
      <c r="B271" s="6">
        <v>4294854542</v>
      </c>
      <c r="C271" s="6">
        <v>13864</v>
      </c>
      <c r="D271" s="5">
        <v>3.22804878824694E-6</v>
      </c>
    </row>
    <row r="272" spans="1:4" x14ac:dyDescent="0.35">
      <c r="A272" s="4">
        <v>641</v>
      </c>
      <c r="B272" s="6">
        <v>34501568</v>
      </c>
      <c r="C272" s="6">
        <v>0</v>
      </c>
      <c r="D272" s="5">
        <v>0</v>
      </c>
    </row>
    <row r="273" spans="1:4" x14ac:dyDescent="0.35">
      <c r="A273" s="4">
        <v>642</v>
      </c>
      <c r="B273" s="6">
        <v>198456486</v>
      </c>
      <c r="C273" s="6">
        <v>7020</v>
      </c>
      <c r="D273" s="5">
        <v>3.5372993553861403E-5</v>
      </c>
    </row>
    <row r="274" spans="1:4" x14ac:dyDescent="0.35">
      <c r="A274" s="4">
        <v>642</v>
      </c>
      <c r="B274" s="6">
        <v>21934</v>
      </c>
      <c r="C274" s="6">
        <v>0</v>
      </c>
      <c r="D274" s="5">
        <v>0</v>
      </c>
    </row>
    <row r="275" spans="1:4" x14ac:dyDescent="0.35">
      <c r="A275" s="4">
        <v>643</v>
      </c>
      <c r="B275" s="6">
        <v>401309046</v>
      </c>
      <c r="C275" s="6">
        <v>2997341</v>
      </c>
      <c r="D275" s="5">
        <v>7.4689096342971497E-3</v>
      </c>
    </row>
    <row r="276" spans="1:4" x14ac:dyDescent="0.35">
      <c r="A276" s="4">
        <v>643</v>
      </c>
      <c r="B276" s="6">
        <v>1425738</v>
      </c>
      <c r="C276" s="6">
        <v>0</v>
      </c>
      <c r="D276" s="5">
        <v>0</v>
      </c>
    </row>
    <row r="277" spans="1:4" x14ac:dyDescent="0.35">
      <c r="A277" s="4">
        <v>649</v>
      </c>
      <c r="B277" s="6">
        <v>2634834526</v>
      </c>
      <c r="C277" s="6">
        <v>5879832</v>
      </c>
      <c r="D277" s="5">
        <v>2.23157543366729E-3</v>
      </c>
    </row>
    <row r="278" spans="1:4" x14ac:dyDescent="0.35">
      <c r="A278" s="4">
        <v>649</v>
      </c>
      <c r="B278" s="6">
        <v>1273291</v>
      </c>
      <c r="C278" s="6">
        <v>0</v>
      </c>
      <c r="D278" s="5">
        <v>0</v>
      </c>
    </row>
    <row r="279" spans="1:4" x14ac:dyDescent="0.35">
      <c r="A279" s="4">
        <v>651</v>
      </c>
      <c r="B279" s="6">
        <v>67578082</v>
      </c>
      <c r="C279" s="6">
        <v>386275</v>
      </c>
      <c r="D279" s="5">
        <v>5.7159805156944202E-3</v>
      </c>
    </row>
    <row r="280" spans="1:4" x14ac:dyDescent="0.35">
      <c r="A280" s="4">
        <v>651</v>
      </c>
      <c r="B280" s="6">
        <v>39569</v>
      </c>
      <c r="C280" s="6">
        <v>0</v>
      </c>
      <c r="D280" s="5">
        <v>0</v>
      </c>
    </row>
    <row r="281" spans="1:4" x14ac:dyDescent="0.35">
      <c r="A281" s="4">
        <v>652</v>
      </c>
      <c r="B281" s="6">
        <v>453536</v>
      </c>
      <c r="C281" s="6">
        <v>3003</v>
      </c>
      <c r="D281" s="5">
        <v>6.6213045932406603E-3</v>
      </c>
    </row>
    <row r="282" spans="1:4" x14ac:dyDescent="0.35">
      <c r="A282" s="4">
        <v>652</v>
      </c>
      <c r="B282" s="6">
        <v>189402</v>
      </c>
      <c r="C282" s="6">
        <v>0</v>
      </c>
      <c r="D282" s="5">
        <v>0</v>
      </c>
    </row>
    <row r="283" spans="1:4" x14ac:dyDescent="0.35">
      <c r="A283" s="4">
        <v>653</v>
      </c>
      <c r="B283" s="6">
        <v>981198</v>
      </c>
      <c r="C283" s="6">
        <v>8910</v>
      </c>
      <c r="D283" s="5">
        <v>9.0807359982388799E-3</v>
      </c>
    </row>
    <row r="284" spans="1:4" x14ac:dyDescent="0.35">
      <c r="A284" s="4">
        <v>653</v>
      </c>
      <c r="B284" s="6">
        <v>630961</v>
      </c>
      <c r="C284" s="6">
        <v>0</v>
      </c>
      <c r="D284" s="5">
        <v>0</v>
      </c>
    </row>
    <row r="285" spans="1:4" x14ac:dyDescent="0.35">
      <c r="A285" s="4">
        <v>661</v>
      </c>
      <c r="B285" s="6">
        <v>217582639</v>
      </c>
      <c r="C285" s="6">
        <v>598017</v>
      </c>
      <c r="D285" s="5">
        <v>2.7484591727927302E-3</v>
      </c>
    </row>
    <row r="286" spans="1:4" x14ac:dyDescent="0.35">
      <c r="A286" s="4">
        <v>661</v>
      </c>
      <c r="B286" s="6">
        <v>1213971</v>
      </c>
      <c r="C286" s="6">
        <v>0</v>
      </c>
      <c r="D286" s="5">
        <v>0</v>
      </c>
    </row>
    <row r="287" spans="1:4" x14ac:dyDescent="0.35">
      <c r="A287" s="4">
        <v>662</v>
      </c>
      <c r="B287" s="6">
        <v>9367817</v>
      </c>
      <c r="C287" s="6">
        <v>606997</v>
      </c>
      <c r="D287" s="5">
        <v>6.4795992492167595E-2</v>
      </c>
    </row>
    <row r="288" spans="1:4" x14ac:dyDescent="0.35">
      <c r="A288" s="4">
        <v>662</v>
      </c>
      <c r="B288" s="6">
        <v>37251</v>
      </c>
      <c r="C288" s="6">
        <v>0</v>
      </c>
      <c r="D288" s="5">
        <v>0</v>
      </c>
    </row>
    <row r="289" spans="1:4" x14ac:dyDescent="0.35">
      <c r="A289" s="4">
        <v>663</v>
      </c>
      <c r="B289" s="6">
        <v>7385928</v>
      </c>
      <c r="C289" s="6">
        <v>445107</v>
      </c>
      <c r="D289" s="5">
        <v>6.0264194289465001E-2</v>
      </c>
    </row>
    <row r="290" spans="1:4" x14ac:dyDescent="0.35">
      <c r="A290" s="4">
        <v>663</v>
      </c>
      <c r="B290" s="6">
        <v>185523</v>
      </c>
      <c r="C290" s="6">
        <v>0</v>
      </c>
      <c r="D290" s="5">
        <v>0</v>
      </c>
    </row>
    <row r="291" spans="1:4" x14ac:dyDescent="0.35">
      <c r="A291" s="4">
        <v>681</v>
      </c>
      <c r="B291" s="6">
        <v>139650797</v>
      </c>
      <c r="C291" s="6">
        <v>3383655</v>
      </c>
      <c r="D291" s="5">
        <v>2.4229399850829302E-2</v>
      </c>
    </row>
    <row r="292" spans="1:4" x14ac:dyDescent="0.35">
      <c r="A292" s="4">
        <v>681</v>
      </c>
      <c r="B292" s="6">
        <v>298812</v>
      </c>
      <c r="C292" s="6">
        <v>5948</v>
      </c>
      <c r="D292" s="5">
        <v>1.99054924166365E-2</v>
      </c>
    </row>
    <row r="293" spans="1:4" x14ac:dyDescent="0.35">
      <c r="A293" s="4">
        <v>682</v>
      </c>
      <c r="B293" s="6">
        <v>36131277</v>
      </c>
      <c r="C293" s="6">
        <v>500373</v>
      </c>
      <c r="D293" s="5">
        <v>1.38487493813185E-2</v>
      </c>
    </row>
    <row r="294" spans="1:4" x14ac:dyDescent="0.35">
      <c r="A294" s="4">
        <v>682</v>
      </c>
      <c r="B294" s="6">
        <v>640077</v>
      </c>
      <c r="C294" s="6">
        <v>0</v>
      </c>
      <c r="D294" s="5">
        <v>0</v>
      </c>
    </row>
    <row r="295" spans="1:4" x14ac:dyDescent="0.35">
      <c r="A295" s="4">
        <v>691</v>
      </c>
      <c r="B295" s="6">
        <v>62031881</v>
      </c>
      <c r="C295" s="6">
        <v>2299743</v>
      </c>
      <c r="D295" s="5">
        <v>3.7073565446129199E-2</v>
      </c>
    </row>
    <row r="296" spans="1:4" x14ac:dyDescent="0.35">
      <c r="A296" s="4">
        <v>691</v>
      </c>
      <c r="B296" s="6">
        <v>551005</v>
      </c>
      <c r="C296" s="6">
        <v>1085</v>
      </c>
      <c r="D296" s="5">
        <v>1.9691291367591899E-3</v>
      </c>
    </row>
    <row r="297" spans="1:4" x14ac:dyDescent="0.35">
      <c r="A297" s="4">
        <v>692</v>
      </c>
      <c r="B297" s="6">
        <v>58095045</v>
      </c>
      <c r="C297" s="6">
        <v>1614091</v>
      </c>
      <c r="D297" s="5">
        <v>2.77836259529534E-2</v>
      </c>
    </row>
    <row r="298" spans="1:4" x14ac:dyDescent="0.35">
      <c r="A298" s="4">
        <v>692</v>
      </c>
      <c r="B298" s="6">
        <v>70367</v>
      </c>
      <c r="C298" s="6">
        <v>0</v>
      </c>
      <c r="D298" s="5">
        <v>0</v>
      </c>
    </row>
    <row r="299" spans="1:4" x14ac:dyDescent="0.35">
      <c r="A299" s="4">
        <v>701</v>
      </c>
      <c r="B299" s="6">
        <v>295596</v>
      </c>
      <c r="C299" s="6">
        <v>908</v>
      </c>
      <c r="D299" s="5">
        <v>3.0717601050081799E-3</v>
      </c>
    </row>
    <row r="300" spans="1:4" x14ac:dyDescent="0.35">
      <c r="A300" s="4">
        <v>701</v>
      </c>
      <c r="B300" s="6">
        <v>34675</v>
      </c>
      <c r="C300" s="6">
        <v>0</v>
      </c>
      <c r="D300" s="5">
        <v>0</v>
      </c>
    </row>
    <row r="301" spans="1:4" x14ac:dyDescent="0.35">
      <c r="A301" s="4">
        <v>702</v>
      </c>
      <c r="B301" s="6">
        <v>260810158</v>
      </c>
      <c r="C301" s="6">
        <v>19803507</v>
      </c>
      <c r="D301" s="5">
        <v>7.5930735029116403E-2</v>
      </c>
    </row>
    <row r="302" spans="1:4" x14ac:dyDescent="0.35">
      <c r="A302" s="4">
        <v>702</v>
      </c>
      <c r="B302" s="6">
        <v>1620980</v>
      </c>
      <c r="C302" s="6">
        <v>7066</v>
      </c>
      <c r="D302" s="5">
        <v>4.3590914138360703E-3</v>
      </c>
    </row>
    <row r="303" spans="1:4" x14ac:dyDescent="0.35">
      <c r="A303" s="4">
        <v>711</v>
      </c>
      <c r="B303" s="6">
        <v>132142782</v>
      </c>
      <c r="C303" s="6">
        <v>6026257</v>
      </c>
      <c r="D303" s="5">
        <v>4.56041329597556E-2</v>
      </c>
    </row>
    <row r="304" spans="1:4" x14ac:dyDescent="0.35">
      <c r="A304" s="4">
        <v>711</v>
      </c>
      <c r="B304" s="6">
        <v>640422</v>
      </c>
      <c r="C304" s="6">
        <v>13365</v>
      </c>
      <c r="D304" s="5">
        <v>2.0869051968858E-2</v>
      </c>
    </row>
    <row r="305" spans="1:4" x14ac:dyDescent="0.35">
      <c r="A305" s="4">
        <v>712</v>
      </c>
      <c r="B305" s="6">
        <v>8306236</v>
      </c>
      <c r="C305" s="6">
        <v>822399</v>
      </c>
      <c r="D305" s="5">
        <v>9.9009828278416298E-2</v>
      </c>
    </row>
    <row r="306" spans="1:4" x14ac:dyDescent="0.35">
      <c r="A306" s="4">
        <v>721</v>
      </c>
      <c r="B306" s="6">
        <v>28051030</v>
      </c>
      <c r="C306" s="6">
        <v>137161</v>
      </c>
      <c r="D306" s="5">
        <v>4.88969567249402E-3</v>
      </c>
    </row>
    <row r="307" spans="1:4" x14ac:dyDescent="0.35">
      <c r="A307" s="4">
        <v>721</v>
      </c>
      <c r="B307" s="6">
        <v>0</v>
      </c>
      <c r="C307" s="6">
        <v>0</v>
      </c>
    </row>
    <row r="308" spans="1:4" x14ac:dyDescent="0.35">
      <c r="A308" s="4">
        <v>722</v>
      </c>
      <c r="B308" s="6">
        <v>6301156</v>
      </c>
      <c r="C308" s="6">
        <v>11779</v>
      </c>
      <c r="D308" s="5">
        <v>1.8693395307146799E-3</v>
      </c>
    </row>
    <row r="309" spans="1:4" x14ac:dyDescent="0.35">
      <c r="A309" s="4">
        <v>731</v>
      </c>
      <c r="B309" s="6">
        <v>24020341</v>
      </c>
      <c r="C309" s="6">
        <v>1170659</v>
      </c>
      <c r="D309" s="5">
        <v>4.8736152413489803E-2</v>
      </c>
    </row>
    <row r="310" spans="1:4" x14ac:dyDescent="0.35">
      <c r="A310" s="4">
        <v>731</v>
      </c>
      <c r="B310" s="6">
        <v>99499</v>
      </c>
      <c r="C310" s="6">
        <v>36</v>
      </c>
      <c r="D310" s="5">
        <v>3.6181268153448698E-4</v>
      </c>
    </row>
    <row r="311" spans="1:4" x14ac:dyDescent="0.35">
      <c r="A311" s="4">
        <v>732</v>
      </c>
      <c r="B311" s="6">
        <v>43104472</v>
      </c>
      <c r="C311" s="6">
        <v>0</v>
      </c>
      <c r="D311" s="5">
        <v>0</v>
      </c>
    </row>
    <row r="312" spans="1:4" x14ac:dyDescent="0.35">
      <c r="A312" s="4">
        <v>732</v>
      </c>
      <c r="B312" s="6">
        <v>753776</v>
      </c>
      <c r="C312" s="6">
        <v>11234</v>
      </c>
      <c r="D312" s="5">
        <v>1.49036318481883E-2</v>
      </c>
    </row>
    <row r="313" spans="1:4" x14ac:dyDescent="0.35">
      <c r="A313" s="4">
        <v>741</v>
      </c>
      <c r="B313" s="6">
        <v>13647508</v>
      </c>
      <c r="C313" s="6">
        <v>1136968</v>
      </c>
      <c r="D313" s="5">
        <v>8.33095683109326E-2</v>
      </c>
    </row>
    <row r="314" spans="1:4" x14ac:dyDescent="0.35">
      <c r="A314" s="4">
        <v>741</v>
      </c>
      <c r="B314" s="6">
        <v>1336</v>
      </c>
      <c r="C314" s="6">
        <v>1336</v>
      </c>
      <c r="D314" s="5">
        <v>1</v>
      </c>
    </row>
    <row r="315" spans="1:4" x14ac:dyDescent="0.35">
      <c r="A315" s="4">
        <v>742</v>
      </c>
      <c r="B315" s="6">
        <v>2179424</v>
      </c>
      <c r="C315" s="6">
        <v>62447</v>
      </c>
      <c r="D315" s="5">
        <v>2.8652983540605199E-2</v>
      </c>
    </row>
    <row r="316" spans="1:4" x14ac:dyDescent="0.35">
      <c r="A316" s="4">
        <v>742</v>
      </c>
      <c r="B316" s="6">
        <v>5982</v>
      </c>
      <c r="C316" s="6">
        <v>0</v>
      </c>
      <c r="D316" s="5">
        <v>0</v>
      </c>
    </row>
    <row r="317" spans="1:4" x14ac:dyDescent="0.35">
      <c r="A317" s="4">
        <v>749</v>
      </c>
      <c r="B317" s="6">
        <v>34303865</v>
      </c>
      <c r="C317" s="6">
        <v>3702761</v>
      </c>
      <c r="D317" s="5">
        <v>0.107940052819121</v>
      </c>
    </row>
    <row r="318" spans="1:4" x14ac:dyDescent="0.35">
      <c r="A318" s="4">
        <v>749</v>
      </c>
      <c r="B318" s="6">
        <v>386440</v>
      </c>
      <c r="C318" s="6">
        <v>3631</v>
      </c>
      <c r="D318" s="5">
        <v>9.3960252561846504E-3</v>
      </c>
    </row>
    <row r="319" spans="1:4" x14ac:dyDescent="0.35">
      <c r="A319" s="4">
        <v>750</v>
      </c>
      <c r="B319" s="6">
        <v>24539139</v>
      </c>
      <c r="C319" s="6">
        <v>189683</v>
      </c>
      <c r="D319" s="5">
        <v>7.7298148072758302E-3</v>
      </c>
    </row>
    <row r="320" spans="1:4" x14ac:dyDescent="0.35">
      <c r="A320" s="4">
        <v>750</v>
      </c>
      <c r="B320" s="6">
        <v>396782</v>
      </c>
      <c r="C320" s="6">
        <v>38678</v>
      </c>
      <c r="D320" s="5">
        <v>9.7479220327535004E-2</v>
      </c>
    </row>
    <row r="321" spans="1:4" x14ac:dyDescent="0.35">
      <c r="A321" s="4">
        <v>771</v>
      </c>
      <c r="B321" s="6">
        <v>155439777</v>
      </c>
      <c r="C321" s="6">
        <v>5073868</v>
      </c>
      <c r="D321" s="5">
        <v>3.2642018008041701E-2</v>
      </c>
    </row>
    <row r="322" spans="1:4" x14ac:dyDescent="0.35">
      <c r="A322" s="4">
        <v>771</v>
      </c>
      <c r="B322" s="6">
        <v>191834</v>
      </c>
      <c r="C322" s="6">
        <v>0</v>
      </c>
      <c r="D322" s="5">
        <v>0</v>
      </c>
    </row>
    <row r="323" spans="1:4" x14ac:dyDescent="0.35">
      <c r="A323" s="4">
        <v>772</v>
      </c>
      <c r="B323" s="6">
        <v>951728</v>
      </c>
      <c r="C323" s="6">
        <v>24818</v>
      </c>
      <c r="D323" s="5">
        <v>2.60767782391607E-2</v>
      </c>
    </row>
    <row r="324" spans="1:4" x14ac:dyDescent="0.35">
      <c r="A324" s="4">
        <v>772</v>
      </c>
      <c r="B324" s="6">
        <v>110</v>
      </c>
      <c r="C324" s="6">
        <v>110</v>
      </c>
      <c r="D324" s="5">
        <v>1</v>
      </c>
    </row>
    <row r="325" spans="1:4" x14ac:dyDescent="0.35">
      <c r="A325" s="4">
        <v>773</v>
      </c>
      <c r="B325" s="6">
        <v>56364555</v>
      </c>
      <c r="C325" s="6">
        <v>1145864</v>
      </c>
      <c r="D325" s="5">
        <v>2.0329513823004498E-2</v>
      </c>
    </row>
    <row r="326" spans="1:4" x14ac:dyDescent="0.35">
      <c r="A326" s="4">
        <v>773</v>
      </c>
      <c r="B326" s="6">
        <v>14000</v>
      </c>
      <c r="C326" s="6">
        <v>0</v>
      </c>
      <c r="D326" s="5">
        <v>0</v>
      </c>
    </row>
    <row r="327" spans="1:4" x14ac:dyDescent="0.35">
      <c r="A327" s="4">
        <v>774</v>
      </c>
      <c r="B327" s="6">
        <v>8711476</v>
      </c>
      <c r="C327" s="6">
        <v>368704</v>
      </c>
      <c r="D327" s="5">
        <v>4.2323941430820598E-2</v>
      </c>
    </row>
    <row r="328" spans="1:4" x14ac:dyDescent="0.35">
      <c r="A328" s="4">
        <v>780</v>
      </c>
      <c r="B328" s="6">
        <v>21761808</v>
      </c>
      <c r="C328" s="6">
        <v>280352</v>
      </c>
      <c r="D328" s="5">
        <v>1.2882753124188901E-2</v>
      </c>
    </row>
    <row r="329" spans="1:4" x14ac:dyDescent="0.35">
      <c r="A329" s="4">
        <v>780</v>
      </c>
      <c r="B329" s="6">
        <v>6657</v>
      </c>
      <c r="C329" s="6">
        <v>0</v>
      </c>
      <c r="D329" s="5">
        <v>0</v>
      </c>
    </row>
    <row r="330" spans="1:4" x14ac:dyDescent="0.35">
      <c r="A330" s="4">
        <v>791</v>
      </c>
      <c r="B330" s="6">
        <v>112468569</v>
      </c>
      <c r="C330" s="6">
        <v>6232140</v>
      </c>
      <c r="D330" s="5">
        <v>5.5412281452607397E-2</v>
      </c>
    </row>
    <row r="331" spans="1:4" x14ac:dyDescent="0.35">
      <c r="A331" s="4">
        <v>791</v>
      </c>
      <c r="B331" s="6">
        <v>346337</v>
      </c>
      <c r="C331" s="6">
        <v>34</v>
      </c>
      <c r="D331" s="5">
        <v>9.8170279236697204E-5</v>
      </c>
    </row>
    <row r="332" spans="1:4" x14ac:dyDescent="0.35">
      <c r="A332" s="4">
        <v>801</v>
      </c>
      <c r="B332" s="6">
        <v>62478779</v>
      </c>
      <c r="C332" s="6">
        <v>6686828</v>
      </c>
      <c r="D332" s="5">
        <v>0.107025587039721</v>
      </c>
    </row>
    <row r="333" spans="1:4" x14ac:dyDescent="0.35">
      <c r="A333" s="4">
        <v>801</v>
      </c>
      <c r="B333" s="6">
        <v>127033</v>
      </c>
      <c r="C333" s="6">
        <v>0</v>
      </c>
      <c r="D333" s="5">
        <v>0</v>
      </c>
    </row>
    <row r="334" spans="1:4" x14ac:dyDescent="0.35">
      <c r="A334" s="4">
        <v>811</v>
      </c>
      <c r="B334" s="6">
        <v>817214</v>
      </c>
      <c r="C334" s="6">
        <v>72670</v>
      </c>
      <c r="D334" s="5">
        <v>8.8924076190569398E-2</v>
      </c>
    </row>
    <row r="335" spans="1:4" x14ac:dyDescent="0.35">
      <c r="A335" s="4">
        <v>812</v>
      </c>
      <c r="B335" s="6">
        <v>54655799</v>
      </c>
      <c r="C335" s="6">
        <v>2340499</v>
      </c>
      <c r="D335" s="5">
        <v>4.2822519162147799E-2</v>
      </c>
    </row>
    <row r="336" spans="1:4" x14ac:dyDescent="0.35">
      <c r="A336" s="4">
        <v>812</v>
      </c>
      <c r="B336" s="6">
        <v>51250</v>
      </c>
      <c r="C336" s="6">
        <v>809</v>
      </c>
      <c r="D336" s="5">
        <v>1.5785365853658501E-2</v>
      </c>
    </row>
    <row r="337" spans="1:4" x14ac:dyDescent="0.35">
      <c r="A337" s="4">
        <v>813</v>
      </c>
      <c r="B337" s="6">
        <v>7103673</v>
      </c>
      <c r="C337" s="6">
        <v>277749</v>
      </c>
      <c r="D337" s="5">
        <v>3.90993504346272E-2</v>
      </c>
    </row>
    <row r="338" spans="1:4" x14ac:dyDescent="0.35">
      <c r="A338" s="4">
        <v>813</v>
      </c>
      <c r="B338" s="6">
        <v>27325</v>
      </c>
      <c r="C338" s="6">
        <v>0</v>
      </c>
      <c r="D338" s="5">
        <v>0</v>
      </c>
    </row>
    <row r="339" spans="1:4" x14ac:dyDescent="0.35">
      <c r="A339" s="4">
        <v>821</v>
      </c>
      <c r="B339" s="6">
        <v>8719743</v>
      </c>
      <c r="C339" s="6">
        <v>994793</v>
      </c>
      <c r="D339" s="5">
        <v>0.114085128426376</v>
      </c>
    </row>
    <row r="340" spans="1:4" x14ac:dyDescent="0.35">
      <c r="A340" s="4">
        <v>821</v>
      </c>
      <c r="B340" s="6">
        <v>33132</v>
      </c>
      <c r="C340" s="6">
        <v>0</v>
      </c>
      <c r="D340" s="5">
        <v>0</v>
      </c>
    </row>
    <row r="341" spans="1:4" x14ac:dyDescent="0.35">
      <c r="A341" s="4">
        <v>822</v>
      </c>
      <c r="B341" s="6">
        <v>9596863</v>
      </c>
      <c r="C341" s="6">
        <v>430387</v>
      </c>
      <c r="D341" s="5">
        <v>4.4846633738545597E-2</v>
      </c>
    </row>
    <row r="342" spans="1:4" x14ac:dyDescent="0.35">
      <c r="A342" s="4">
        <v>823</v>
      </c>
      <c r="B342" s="6">
        <v>3296807</v>
      </c>
      <c r="C342" s="6">
        <v>244496</v>
      </c>
      <c r="D342" s="5">
        <v>7.4161453794535107E-2</v>
      </c>
    </row>
    <row r="343" spans="1:4" x14ac:dyDescent="0.35">
      <c r="A343" s="4">
        <v>823</v>
      </c>
      <c r="B343" s="6">
        <v>7046</v>
      </c>
      <c r="C343" s="6">
        <v>0</v>
      </c>
      <c r="D343" s="5">
        <v>0</v>
      </c>
    </row>
    <row r="344" spans="1:4" x14ac:dyDescent="0.35">
      <c r="A344" s="4">
        <v>829</v>
      </c>
      <c r="B344" s="6">
        <v>638010720</v>
      </c>
      <c r="C344" s="6">
        <v>16558111</v>
      </c>
      <c r="D344" s="5">
        <v>2.59527159669041E-2</v>
      </c>
    </row>
    <row r="345" spans="1:4" x14ac:dyDescent="0.35">
      <c r="A345" s="4">
        <v>829</v>
      </c>
      <c r="B345" s="6">
        <v>1092063</v>
      </c>
      <c r="C345" s="6">
        <v>274</v>
      </c>
      <c r="D345" s="5">
        <v>2.5090127584214398E-4</v>
      </c>
    </row>
    <row r="346" spans="1:4" x14ac:dyDescent="0.35">
      <c r="A346" s="4">
        <v>841</v>
      </c>
      <c r="B346" s="6">
        <v>1849859068</v>
      </c>
      <c r="C346" s="6">
        <v>1270190</v>
      </c>
      <c r="D346" s="5">
        <v>6.8664149716728498E-4</v>
      </c>
    </row>
    <row r="347" spans="1:4" x14ac:dyDescent="0.35">
      <c r="A347" s="4">
        <v>841</v>
      </c>
      <c r="B347" s="6">
        <v>8377</v>
      </c>
      <c r="C347" s="6">
        <v>0</v>
      </c>
      <c r="D347" s="5">
        <v>0</v>
      </c>
    </row>
    <row r="348" spans="1:4" x14ac:dyDescent="0.35">
      <c r="A348" s="4">
        <v>842</v>
      </c>
      <c r="B348" s="6">
        <v>5442077</v>
      </c>
      <c r="C348" s="6">
        <v>420729</v>
      </c>
      <c r="D348" s="5">
        <v>7.7310372491973103E-2</v>
      </c>
    </row>
    <row r="349" spans="1:4" x14ac:dyDescent="0.35">
      <c r="A349" s="4">
        <v>843</v>
      </c>
      <c r="B349" s="6">
        <v>2734222</v>
      </c>
      <c r="C349" s="6">
        <v>355644</v>
      </c>
      <c r="D349" s="5">
        <v>0.130071369479142</v>
      </c>
    </row>
    <row r="350" spans="1:4" x14ac:dyDescent="0.35">
      <c r="A350" s="4">
        <v>851</v>
      </c>
      <c r="B350" s="6">
        <v>37436988</v>
      </c>
      <c r="C350" s="6">
        <v>1085225</v>
      </c>
      <c r="D350" s="5">
        <v>2.8988042520942101E-2</v>
      </c>
    </row>
    <row r="351" spans="1:4" x14ac:dyDescent="0.35">
      <c r="A351" s="4">
        <v>851</v>
      </c>
      <c r="B351" s="6">
        <v>138134</v>
      </c>
      <c r="C351" s="6">
        <v>0</v>
      </c>
      <c r="D351" s="5">
        <v>0</v>
      </c>
    </row>
    <row r="352" spans="1:4" x14ac:dyDescent="0.35">
      <c r="A352" s="4">
        <v>852</v>
      </c>
      <c r="B352" s="6">
        <v>7101197</v>
      </c>
      <c r="C352" s="6">
        <v>373077</v>
      </c>
      <c r="D352" s="5">
        <v>5.25371990102513E-2</v>
      </c>
    </row>
    <row r="353" spans="1:4" x14ac:dyDescent="0.35">
      <c r="A353" s="4">
        <v>852</v>
      </c>
      <c r="B353" s="6">
        <v>121</v>
      </c>
      <c r="C353" s="6">
        <v>121</v>
      </c>
      <c r="D353" s="5">
        <v>1</v>
      </c>
    </row>
    <row r="354" spans="1:4" x14ac:dyDescent="0.35">
      <c r="A354" s="4">
        <v>853</v>
      </c>
      <c r="B354" s="6">
        <v>67542720</v>
      </c>
      <c r="C354" s="6">
        <v>109370</v>
      </c>
      <c r="D354" s="5">
        <v>1.6192714773701699E-3</v>
      </c>
    </row>
    <row r="355" spans="1:4" x14ac:dyDescent="0.35">
      <c r="A355" s="4">
        <v>854</v>
      </c>
      <c r="B355" s="6">
        <v>57271573</v>
      </c>
      <c r="C355" s="6">
        <v>3074621</v>
      </c>
      <c r="D355" s="5">
        <v>5.3684940694749203E-2</v>
      </c>
    </row>
    <row r="356" spans="1:4" x14ac:dyDescent="0.35">
      <c r="A356" s="4">
        <v>854</v>
      </c>
      <c r="B356" s="6">
        <v>56227</v>
      </c>
      <c r="C356" s="6">
        <v>0</v>
      </c>
      <c r="D356" s="5">
        <v>0</v>
      </c>
    </row>
    <row r="357" spans="1:4" x14ac:dyDescent="0.35">
      <c r="A357" s="4">
        <v>855</v>
      </c>
      <c r="B357" s="6">
        <v>4706985</v>
      </c>
      <c r="C357" s="6">
        <v>259660</v>
      </c>
      <c r="D357" s="5">
        <v>5.5164824192131402E-2</v>
      </c>
    </row>
    <row r="358" spans="1:4" x14ac:dyDescent="0.35">
      <c r="A358" s="4">
        <v>861</v>
      </c>
      <c r="B358" s="6">
        <v>219564886</v>
      </c>
      <c r="C358" s="6">
        <v>4528404</v>
      </c>
      <c r="D358" s="5">
        <v>2.0624445386044101E-2</v>
      </c>
    </row>
    <row r="359" spans="1:4" x14ac:dyDescent="0.35">
      <c r="A359" s="4">
        <v>861</v>
      </c>
      <c r="B359" s="6">
        <v>14071</v>
      </c>
      <c r="C359" s="6">
        <v>0</v>
      </c>
      <c r="D359" s="5">
        <v>0</v>
      </c>
    </row>
    <row r="360" spans="1:4" x14ac:dyDescent="0.35">
      <c r="A360" s="4">
        <v>862</v>
      </c>
      <c r="B360" s="6">
        <v>47513863</v>
      </c>
      <c r="C360" s="6">
        <v>836020</v>
      </c>
      <c r="D360" s="5">
        <v>1.7595285822160901E-2</v>
      </c>
    </row>
    <row r="361" spans="1:4" x14ac:dyDescent="0.35">
      <c r="A361" s="4">
        <v>862</v>
      </c>
      <c r="B361" s="6">
        <v>1235910</v>
      </c>
      <c r="C361" s="6">
        <v>0</v>
      </c>
      <c r="D361" s="5">
        <v>0</v>
      </c>
    </row>
    <row r="362" spans="1:4" x14ac:dyDescent="0.35">
      <c r="A362" s="4">
        <v>863</v>
      </c>
      <c r="B362" s="6">
        <v>82227151</v>
      </c>
      <c r="C362" s="6">
        <v>2435935</v>
      </c>
      <c r="D362" s="5">
        <v>2.96244606602021E-2</v>
      </c>
    </row>
    <row r="363" spans="1:4" x14ac:dyDescent="0.35">
      <c r="A363" s="4">
        <v>863</v>
      </c>
      <c r="B363" s="6">
        <v>58696</v>
      </c>
      <c r="C363" s="6">
        <v>0</v>
      </c>
      <c r="D363" s="5">
        <v>0</v>
      </c>
    </row>
    <row r="364" spans="1:4" x14ac:dyDescent="0.35">
      <c r="A364" s="4">
        <v>864</v>
      </c>
      <c r="B364" s="6">
        <v>27917029</v>
      </c>
      <c r="C364" s="6">
        <v>632372</v>
      </c>
      <c r="D364" s="5">
        <v>2.26518373427201E-2</v>
      </c>
    </row>
    <row r="365" spans="1:4" x14ac:dyDescent="0.35">
      <c r="A365" s="4">
        <v>864</v>
      </c>
      <c r="B365" s="6">
        <v>13954</v>
      </c>
      <c r="C365" s="6">
        <v>0</v>
      </c>
      <c r="D365" s="5">
        <v>0</v>
      </c>
    </row>
    <row r="366" spans="1:4" x14ac:dyDescent="0.35">
      <c r="A366" s="4">
        <v>869</v>
      </c>
      <c r="B366" s="6">
        <v>447774211</v>
      </c>
      <c r="C366" s="6">
        <v>11850051</v>
      </c>
      <c r="D366" s="5">
        <v>2.64643445488646E-2</v>
      </c>
    </row>
    <row r="367" spans="1:4" x14ac:dyDescent="0.35">
      <c r="A367" s="4">
        <v>869</v>
      </c>
      <c r="B367" s="6">
        <v>353122</v>
      </c>
      <c r="C367" s="6">
        <v>397</v>
      </c>
      <c r="D367" s="5">
        <v>1.1242573388233999E-3</v>
      </c>
    </row>
    <row r="368" spans="1:4" x14ac:dyDescent="0.35">
      <c r="A368" s="4">
        <v>870</v>
      </c>
      <c r="B368" s="6">
        <v>13246723</v>
      </c>
      <c r="C368" s="6">
        <v>504362</v>
      </c>
      <c r="D368" s="5">
        <v>3.8074473211223599E-2</v>
      </c>
    </row>
    <row r="369" spans="1:4" x14ac:dyDescent="0.35">
      <c r="A369" s="4">
        <v>880</v>
      </c>
      <c r="B369" s="6">
        <v>3043454</v>
      </c>
      <c r="C369" s="6">
        <v>242029</v>
      </c>
      <c r="D369" s="5">
        <v>7.9524448209172802E-2</v>
      </c>
    </row>
    <row r="370" spans="1:4" x14ac:dyDescent="0.35">
      <c r="A370" s="4">
        <v>880</v>
      </c>
      <c r="B370" s="6">
        <v>0</v>
      </c>
      <c r="C370" s="6">
        <v>0</v>
      </c>
    </row>
    <row r="371" spans="1:4" x14ac:dyDescent="0.35">
      <c r="A371" s="4">
        <v>900</v>
      </c>
      <c r="B371" s="6">
        <v>38235739</v>
      </c>
      <c r="C371" s="6">
        <v>1653513</v>
      </c>
      <c r="D371" s="5">
        <v>4.32452214406003E-2</v>
      </c>
    </row>
    <row r="372" spans="1:4" x14ac:dyDescent="0.35">
      <c r="A372" s="4">
        <v>900</v>
      </c>
      <c r="B372" s="6">
        <v>1026096</v>
      </c>
      <c r="C372" s="6">
        <v>104</v>
      </c>
      <c r="D372" s="5">
        <v>1.01355038904741E-4</v>
      </c>
    </row>
    <row r="373" spans="1:4" x14ac:dyDescent="0.35">
      <c r="A373" s="4">
        <v>910</v>
      </c>
      <c r="B373" s="6">
        <v>33118829</v>
      </c>
      <c r="C373" s="6">
        <v>997088</v>
      </c>
      <c r="D373" s="5">
        <v>3.0106378459214201E-2</v>
      </c>
    </row>
    <row r="374" spans="1:4" x14ac:dyDescent="0.35">
      <c r="A374" s="4">
        <v>910</v>
      </c>
      <c r="B374" s="6">
        <v>6275</v>
      </c>
      <c r="C374" s="6">
        <v>842</v>
      </c>
      <c r="D374" s="5">
        <v>0.13418326693227001</v>
      </c>
    </row>
    <row r="375" spans="1:4" x14ac:dyDescent="0.35">
      <c r="A375" s="4">
        <v>920</v>
      </c>
      <c r="B375" s="6">
        <v>9031932</v>
      </c>
      <c r="C375" s="6">
        <v>394815</v>
      </c>
      <c r="D375" s="5">
        <v>4.3713238762205002E-2</v>
      </c>
    </row>
    <row r="376" spans="1:4" x14ac:dyDescent="0.35">
      <c r="A376" s="4">
        <v>920</v>
      </c>
      <c r="B376" s="6">
        <v>10430</v>
      </c>
      <c r="C376" s="6">
        <v>0</v>
      </c>
      <c r="D376" s="5">
        <v>0</v>
      </c>
    </row>
    <row r="377" spans="1:4" x14ac:dyDescent="0.35">
      <c r="A377" s="4">
        <v>931</v>
      </c>
      <c r="B377" s="6">
        <v>90268228</v>
      </c>
      <c r="C377" s="6">
        <v>1984933</v>
      </c>
      <c r="D377" s="5">
        <v>2.1989276226846901E-2</v>
      </c>
    </row>
    <row r="378" spans="1:4" x14ac:dyDescent="0.35">
      <c r="A378" s="4">
        <v>931</v>
      </c>
      <c r="B378" s="6">
        <v>35730</v>
      </c>
      <c r="C378" s="6">
        <v>0</v>
      </c>
      <c r="D378" s="5">
        <v>0</v>
      </c>
    </row>
    <row r="379" spans="1:4" x14ac:dyDescent="0.35">
      <c r="A379" s="4">
        <v>939</v>
      </c>
      <c r="B379" s="6">
        <v>29453673</v>
      </c>
      <c r="C379" s="6">
        <v>746587</v>
      </c>
      <c r="D379" s="5">
        <v>2.5347840318591101E-2</v>
      </c>
    </row>
    <row r="380" spans="1:4" x14ac:dyDescent="0.35">
      <c r="A380" s="4">
        <v>939</v>
      </c>
      <c r="B380" s="6">
        <v>136464</v>
      </c>
      <c r="C380" s="6">
        <v>0</v>
      </c>
      <c r="D380" s="5">
        <v>0</v>
      </c>
    </row>
    <row r="381" spans="1:4" x14ac:dyDescent="0.35">
      <c r="A381" s="4">
        <v>941</v>
      </c>
      <c r="B381" s="6">
        <v>14521528</v>
      </c>
      <c r="C381" s="6">
        <v>403797</v>
      </c>
      <c r="D381" s="5">
        <v>2.7806784520196401E-2</v>
      </c>
    </row>
    <row r="382" spans="1:4" x14ac:dyDescent="0.35">
      <c r="A382" s="4">
        <v>941</v>
      </c>
      <c r="B382" s="6">
        <v>13564</v>
      </c>
      <c r="C382" s="6">
        <v>0</v>
      </c>
      <c r="D382" s="5">
        <v>0</v>
      </c>
    </row>
    <row r="383" spans="1:4" x14ac:dyDescent="0.35">
      <c r="A383" s="4">
        <v>942</v>
      </c>
      <c r="B383" s="6">
        <v>17390881</v>
      </c>
      <c r="C383" s="6">
        <v>82071</v>
      </c>
      <c r="D383" s="5">
        <v>4.7191973770621502E-3</v>
      </c>
    </row>
    <row r="384" spans="1:4" x14ac:dyDescent="0.35">
      <c r="A384" s="4">
        <v>949</v>
      </c>
      <c r="B384" s="6">
        <v>161505758</v>
      </c>
      <c r="C384" s="6">
        <v>6050666</v>
      </c>
      <c r="D384" s="5">
        <v>3.7464088432066903E-2</v>
      </c>
    </row>
    <row r="385" spans="1:4" x14ac:dyDescent="0.35">
      <c r="A385" s="4">
        <v>949</v>
      </c>
      <c r="B385" s="6">
        <v>574654</v>
      </c>
      <c r="C385" s="6">
        <v>110</v>
      </c>
      <c r="D385" s="5">
        <v>1.9141953244909099E-4</v>
      </c>
    </row>
    <row r="386" spans="1:4" x14ac:dyDescent="0.35">
      <c r="A386" s="4">
        <v>951</v>
      </c>
      <c r="B386" s="6">
        <v>7361623</v>
      </c>
      <c r="C386" s="6">
        <v>389427</v>
      </c>
      <c r="D386" s="5">
        <v>5.2899611946985003E-2</v>
      </c>
    </row>
    <row r="387" spans="1:4" x14ac:dyDescent="0.35">
      <c r="A387" s="4">
        <v>951</v>
      </c>
      <c r="B387" s="6">
        <v>6898</v>
      </c>
      <c r="C387" s="6">
        <v>231</v>
      </c>
      <c r="D387" s="5">
        <v>3.3487967526819297E-2</v>
      </c>
    </row>
    <row r="388" spans="1:4" x14ac:dyDescent="0.35">
      <c r="A388" s="4">
        <v>952</v>
      </c>
      <c r="B388" s="6">
        <v>5430871</v>
      </c>
      <c r="C388" s="6">
        <v>547965</v>
      </c>
      <c r="D388" s="5">
        <v>0.10089818005251799</v>
      </c>
    </row>
    <row r="389" spans="1:4" x14ac:dyDescent="0.35">
      <c r="A389" s="4">
        <v>952</v>
      </c>
      <c r="B389" s="6">
        <v>38622</v>
      </c>
      <c r="C389" s="6">
        <v>0</v>
      </c>
      <c r="D389" s="5">
        <v>0</v>
      </c>
    </row>
    <row r="390" spans="1:4" x14ac:dyDescent="0.35">
      <c r="A390" s="4">
        <v>960</v>
      </c>
      <c r="B390" s="6">
        <v>1220374787</v>
      </c>
      <c r="C390" s="6">
        <v>92351020</v>
      </c>
      <c r="D390" s="5">
        <v>7.5674310042919593E-2</v>
      </c>
    </row>
    <row r="391" spans="1:4" x14ac:dyDescent="0.35">
      <c r="A391" s="4">
        <v>960</v>
      </c>
      <c r="B391" s="6">
        <v>2738734</v>
      </c>
      <c r="C391" s="6">
        <v>183103</v>
      </c>
      <c r="D391" s="5">
        <v>6.6856803179863394E-2</v>
      </c>
    </row>
    <row r="392" spans="1:4" x14ac:dyDescent="0.35">
      <c r="A392" s="4">
        <v>970</v>
      </c>
      <c r="B392" s="6">
        <v>781240</v>
      </c>
      <c r="C392" s="6">
        <v>34198</v>
      </c>
      <c r="D392" s="5">
        <v>4.3774000307203902E-2</v>
      </c>
    </row>
    <row r="393" spans="1:4" x14ac:dyDescent="0.35">
      <c r="A393" s="4">
        <v>990</v>
      </c>
      <c r="B393" s="6">
        <v>1450102</v>
      </c>
      <c r="C393" s="6">
        <v>4611</v>
      </c>
      <c r="D393" s="5">
        <v>3.1797763191830598E-3</v>
      </c>
    </row>
    <row r="394" spans="1:4" x14ac:dyDescent="0.35">
      <c r="A394" s="4">
        <v>999</v>
      </c>
      <c r="B394" s="6">
        <v>479471969</v>
      </c>
      <c r="C394" s="6">
        <v>55195634</v>
      </c>
      <c r="D394" s="5">
        <v>0.115117540896327</v>
      </c>
    </row>
    <row r="395" spans="1:4" x14ac:dyDescent="0.35">
      <c r="A395" s="4">
        <v>999</v>
      </c>
      <c r="B395" s="6">
        <v>18825870</v>
      </c>
      <c r="C395" s="6">
        <v>245134</v>
      </c>
      <c r="D395" s="5">
        <v>1.30211246545312E-2</v>
      </c>
    </row>
    <row r="396" spans="1:4" x14ac:dyDescent="0.35">
      <c r="A396" s="4" t="s">
        <v>71</v>
      </c>
      <c r="B396" s="6">
        <v>13948320352</v>
      </c>
      <c r="C396" s="6">
        <v>3410208077</v>
      </c>
      <c r="D396" s="5">
        <v>0.24448879800147499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Monitor</vt:lpstr>
      <vt:lpstr>Output - 3 dígitos</vt:lpstr>
      <vt:lpstr>Output - 1 díg</vt:lpstr>
      <vt:lpstr>Industria - 2 díg</vt:lpstr>
      <vt:lpstr>Sectores ARCA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CEU1</dc:creator>
  <cp:lastModifiedBy>Francisco Fernandez</cp:lastModifiedBy>
  <dcterms:created xsi:type="dcterms:W3CDTF">2026-03-13T17:31:53Z</dcterms:created>
  <dcterms:modified xsi:type="dcterms:W3CDTF">2026-03-16T16:19:34Z</dcterms:modified>
</cp:coreProperties>
</file>